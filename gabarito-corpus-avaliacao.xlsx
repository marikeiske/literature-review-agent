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mo usar" sheetId="1" state="visible" r:id="rId3"/>
    <sheet name="Gabarito" sheetId="2" state="visible" r:id="rId4"/>
    <sheet name="Artigos" sheetId="3" state="visible" r:id="rId5"/>
  </sheets>
  <definedNames>
    <definedName function="false" hidden="true" localSheetId="1" name="_xlnm._FilterDatabase" vbProcedure="false">Gabarito!$A$1:$K$78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<sst xmlns="http://schemas.openxmlformats.org/spreadsheetml/2006/main" count="674" uniqueCount="376">
  <si>
    <t xml:space="preserve">Gabarito do corpus de avaliação — rascunho para revisão</t>
  </si>
  <si>
    <t xml:space="preserve">O que é</t>
  </si>
  <si>
    <t xml:space="preserve">Afirmações centrais de cada um dos 11 documentos (8 artigos da dissertação + 3 de aviônica), parafraseadas em português, com a página de onde vêm. É a referência contra a qual os fichamentos do agente serão medidos (precisão de citação, afirmações sem suporte, cobertura).</t>
  </si>
  <si>
    <t xml:space="preserve">Origem</t>
  </si>
  <si>
    <t xml:space="preserve">Rascunho gerado por Claude a partir do texto dos PDFs. Os termos-chave e números de cada afirmação foram conferidos automaticamente contra o texto da página citada (77 de 77 encontrados), mas a escolha do que é 'central' e a paráfrase precisam da sua revisão.</t>
  </si>
  <si>
    <t xml:space="preserve">Convenção de página</t>
  </si>
  <si>
    <t xml:space="preserve">Página física do PDF: 1 = primeira página do arquivo. NÃO é a numeração impressa do periódico (ex.: IEEE Access imprime 70061 na p. 1). O agente deve citar na mesma convenção.</t>
  </si>
  <si>
    <t xml:space="preserve">O que você preenche</t>
  </si>
  <si>
    <t xml:space="preserve">Só as colunas amarelas da aba Gabarito: 'Status' (lista: Aprovada, Corrigir, Rejeitar) e 'Correção / comentário'. Se mudar a página inicial, a coluna 'Posição' se recalcula.</t>
  </si>
  <si>
    <t xml:space="preserve">Exemplo de preenchimento</t>
  </si>
  <si>
    <t xml:space="preserve">Status = Corrigir · Correção / comentário = 'A página certa é 9, não 8' — ou Status = Rejeitar · 'Não é central; trocar pela afirmação sobre X (p. 5)'.</t>
  </si>
  <si>
    <t xml:space="preserve">Posição no texto</t>
  </si>
  <si>
    <t xml:space="preserve">início / meio / fim, pela página inicial em relação ao total de páginas (terços). Serve para testar o efeito 'lost in the middle' (Liu et al., 2023): o agente erra mais no meio de textos longos?</t>
  </si>
  <si>
    <t xml:space="preserve">Observações</t>
  </si>
  <si>
    <t xml:space="preserve">Divergências internas dos próprios artigos (ex.: 3,5 W no resumo vs 3,6 W nos resultados) e armadilhas para o agente estão anotadas. São bons casos de teste.</t>
  </si>
  <si>
    <t xml:space="preserve">Progresso da revisão</t>
  </si>
  <si>
    <t xml:space="preserve">Total de afirmações</t>
  </si>
  <si>
    <t xml:space="preserve">Aprovadas</t>
  </si>
  <si>
    <t xml:space="preserve">A corrigir</t>
  </si>
  <si>
    <t xml:space="preserve">Rejeitadas</t>
  </si>
  <si>
    <t xml:space="preserve">Ainda sem revisão</t>
  </si>
  <si>
    <t xml:space="preserve">ID</t>
  </si>
  <si>
    <t xml:space="preserve">Artigo</t>
  </si>
  <si>
    <t xml:space="preserve">Referência</t>
  </si>
  <si>
    <t xml:space="preserve">Tipo</t>
  </si>
  <si>
    <t xml:space="preserve">Afirmação (paráfrase)</t>
  </si>
  <si>
    <t xml:space="preserve">Página(s) no PDF</t>
  </si>
  <si>
    <t xml:space="preserve">Pág. inicial</t>
  </si>
  <si>
    <t xml:space="preserve">Posição</t>
  </si>
  <si>
    <t xml:space="preserve">Status</t>
  </si>
  <si>
    <t xml:space="preserve">Correção / comentário</t>
  </si>
  <si>
    <t xml:space="preserve">Observação</t>
  </si>
  <si>
    <t xml:space="preserve">A1-01</t>
  </si>
  <si>
    <t xml:space="preserve">Nimbekar et al., 2023</t>
  </si>
  <si>
    <t xml:space="preserve">Contribuição</t>
  </si>
  <si>
    <t xml:space="preserve">Propõe uma arquitetura VLSI reconfigurável e de baixa complexidade que executa duas redes de deep learning para reconhecimento de gestos em reabilitação: LoCoMo-Net (membro superior) e MyoNet (membro inferior).</t>
  </si>
  <si>
    <t xml:space="preserve">p. 1</t>
  </si>
  <si>
    <t xml:space="preserve">Na conclusão (p. 8) os membros aparecem trocados ('hindlimb (upper limb)', 'forelimb (lower limb)'), contrariando a introdução (p. 1).</t>
  </si>
  <si>
    <t xml:space="preserve">A1-02</t>
  </si>
  <si>
    <t xml:space="preserve">Método</t>
  </si>
  <si>
    <t xml:space="preserve">O projeto foi implementado no FPGA Zynq UltraScale+ MPSoC ZCU102.</t>
  </si>
  <si>
    <t xml:space="preserve">A1-03</t>
  </si>
  <si>
    <t xml:space="preserve">As operações comuns às duas redes (convolução, ReLU e max-pooling) ficam na lógica programável; as que variam (LSTM e camada totalmente conectada) rodam no processador.</t>
  </si>
  <si>
    <t xml:space="preserve">p. 5</t>
  </si>
  <si>
    <t xml:space="preserve">A1-04</t>
  </si>
  <si>
    <t xml:space="preserve">Todas as operações usam ponto flutuante de 16 bits; a memória DDR é a principal e as BRAMs guardam resultados intermediários.</t>
  </si>
  <si>
    <t xml:space="preserve">A1-05</t>
  </si>
  <si>
    <t xml:space="preserve">Resultado</t>
  </si>
  <si>
    <t xml:space="preserve">Não há perda de acurácia ao executar as redes em CPU, GPU e FPGA.</t>
  </si>
  <si>
    <t xml:space="preserve">p. 6</t>
  </si>
  <si>
    <t xml:space="preserve">A1-06</t>
  </si>
  <si>
    <t xml:space="preserve">O tempo de reconhecimento no FPGA é 1,876 ms (LoCoMo-Net) e 61,988 ms (MyoNet), abaixo do limite de 300 ms para controle protético em tempo real.</t>
  </si>
  <si>
    <t xml:space="preserve">p. 7</t>
  </si>
  <si>
    <t xml:space="preserve">Na mesma página o tempo da LoCoMo-Net aparece também como 1,879 ms.</t>
  </si>
  <si>
    <t xml:space="preserve">A1-07</t>
  </si>
  <si>
    <t xml:space="preserve">A potência no FPGA é 3,6 W (LoCoMo-Net) e 5 W (MyoNet), contra 16 W e 23 W na GPU Jetson TX2, ou seja, 4 a 4,6 vezes menor.</t>
  </si>
  <si>
    <t xml:space="preserve">Divergência interna: o resumo (p. 1) informa 3,5 W para a LoCoMo-Net no FPGA.</t>
  </si>
  <si>
    <t xml:space="preserve">A1-08</t>
  </si>
  <si>
    <t xml:space="preserve">A síntese em tecnologia GF 40 nm ocupa 2,046 mm² e consome 300,8423 mW a 1,21 V.</t>
  </si>
  <si>
    <t xml:space="preserve">p. 1; 7</t>
  </si>
  <si>
    <t xml:space="preserve">A1-09</t>
  </si>
  <si>
    <t xml:space="preserve">A energia gasta pela LoCoMo-Net é 1440 J na GPU, 0,67 J no FPGA e 0,0045 J no ASIC.</t>
  </si>
  <si>
    <t xml:space="preserve">Números incomuns (90 s na GPU); bom teste para ver se o agente copia sem 'corrigir'.</t>
  </si>
  <si>
    <t xml:space="preserve">A1-10</t>
  </si>
  <si>
    <t xml:space="preserve">Conclusão</t>
  </si>
  <si>
    <t xml:space="preserve">O projeto usa menos de 20% dos recursos totais do FPGA.</t>
  </si>
  <si>
    <t xml:space="preserve">p. 8</t>
  </si>
  <si>
    <t xml:space="preserve">A2-01</t>
  </si>
  <si>
    <t xml:space="preserve">Breyer et al., 2022</t>
  </si>
  <si>
    <t xml:space="preserve">Compara OpenMP, CUDA, OpenCL e SYCL (implementações hipSYCL e DPC++) quanto a usabilidade, desempenho e portabilidade de desempenho, em GPUs NVIDIA, AMD e Intel e CPUs AMD e Intel.</t>
  </si>
  <si>
    <t xml:space="preserve">A2-02</t>
  </si>
  <si>
    <t xml:space="preserve">A carga de trabalho é a biblioteca PLSSVM (LS-SVM), cuja parte mais custosa é resolver um sistema linear pelo método do Gradiente Conjugado.</t>
  </si>
  <si>
    <t xml:space="preserve">A2-03</t>
  </si>
  <si>
    <t xml:space="preserve">Resolver o sistema linear (CG) domina o tempo de execução; as demais partes ocupam no máximo 3,8% do tempo.</t>
  </si>
  <si>
    <t xml:space="preserve">A2-04</t>
  </si>
  <si>
    <t xml:space="preserve">O OpenCL compila os kernels por JIT em tempo de execução, com overhead entre cerca de cem milissegundos e mais de dois minutos.</t>
  </si>
  <si>
    <t xml:space="preserve">p. 4</t>
  </si>
  <si>
    <t xml:space="preserve">A2-05</t>
  </si>
  <si>
    <t xml:space="preserve">Na P100 com 2^15 pontos, o CUDA leva 1,6 s por iteração do CG e o OpenCL 1,7 s; hipSYCL (3,8 s) e DPC++ (7,2 s) são 2,3× e 4,5× mais lentos que o CUDA.</t>
  </si>
  <si>
    <t xml:space="preserve">A2-06</t>
  </si>
  <si>
    <t xml:space="preserve">Um bug do DPC++ impede o inlining do atomic add; removendo-o, o tempo cai 38% (de 7,2 s para 4,5 s).</t>
  </si>
  <si>
    <t xml:space="preserve">A2-07</t>
  </si>
  <si>
    <t xml:space="preserve">Na GPU AMD Radeon Pro VII os backends rendem menos que nas NVIDIA (9,9 s contra 6,7 s na P100), o que os autores atribuem ao ajuste de blocos feito para GPU NVIDIA: portabilidade de desempenho exige ajuste fino.</t>
  </si>
  <si>
    <t xml:space="preserve">A2-08</t>
  </si>
  <si>
    <t xml:space="preserve">Em CPUs, o kernel hierárquico do hipSYCL é em média 24× mais rápido que o nd_range (mín. 4,3; máx. 118,4), mas obriga a manter duas versões do mesmo código.</t>
  </si>
  <si>
    <t xml:space="preserve">p. 9</t>
  </si>
  <si>
    <t xml:space="preserve">A2-09</t>
  </si>
  <si>
    <t xml:space="preserve">Nenhum backend é o mais rápido em todo hardware: CUDA vence nas GPUs NVIDIA, OpenCL nas GPUs AMD e Intel, e DPC++ nas CPUs onde pôde ser usado.</t>
  </si>
  <si>
    <t xml:space="preserve">p. 11</t>
  </si>
  <si>
    <t xml:space="preserve">A2-10</t>
  </si>
  <si>
    <t xml:space="preserve">Recomendam CUDA se só GPUs NVIDIA forem alvo, OpenMP se só CPUs, e SYCL para uso geral, mesmo que o OpenCL seja frequentemente mais rápido.</t>
  </si>
  <si>
    <t xml:space="preserve">p. 11–12</t>
  </si>
  <si>
    <t xml:space="preserve">Afirmação que atravessa a quebra de página.</t>
  </si>
  <si>
    <t xml:space="preserve">A3-01</t>
  </si>
  <si>
    <t xml:space="preserve">Sifakis, 2015</t>
  </si>
  <si>
    <t xml:space="preserve">O sucesso da automação de projeto eletrônico (EDA) se apoia em quatro princípios: separação de interesses, projeto baseado em componentes, coerência semântica e correção por construção.</t>
  </si>
  <si>
    <t xml:space="preserve">A3-02</t>
  </si>
  <si>
    <t xml:space="preserve">O artigo discute até que ponto o paradigma da EDA pode ser adaptado ao projeto de sistemas mistos hardware/software.</t>
  </si>
  <si>
    <t xml:space="preserve">A3-03</t>
  </si>
  <si>
    <t xml:space="preserve">Contexto</t>
  </si>
  <si>
    <t xml:space="preserve">Três obstáculos: falta de métodos rigorosos para especificar requisitos; intratabilidade de síntese e verificação para software com número potencialmente infinito de estados; dificuldade de prever o comportamento do software sobre o hardware.</t>
  </si>
  <si>
    <t xml:space="preserve">p. 2</t>
  </si>
  <si>
    <t xml:space="preserve">A3-04</t>
  </si>
  <si>
    <t xml:space="preserve">Conceito</t>
  </si>
  <si>
    <t xml:space="preserve">Correção de sistema combina confiabilidade (trustworthiness: nada de ruim acontece) e otimização (desempenho, custo-efetividade e compromissos entre eles).</t>
  </si>
  <si>
    <t xml:space="preserve">A3-05</t>
  </si>
  <si>
    <t xml:space="preserve">Argumento</t>
  </si>
  <si>
    <t xml:space="preserve">Confiabilidade e otimização são difíceis de conciliar: aumentar a confiabilidade costuma gastar mais recursos, e otimizar recursos pode comprometer a confiabilidade.</t>
  </si>
  <si>
    <t xml:space="preserve">p. 3</t>
  </si>
  <si>
    <t xml:space="preserve">A3-06</t>
  </si>
  <si>
    <t xml:space="preserve">Proposta</t>
  </si>
  <si>
    <t xml:space="preserve">Defende deslocar o foco dos métodos formais para o projeto rigoroso de sistemas, com ênfase em correção por construção.</t>
  </si>
  <si>
    <t xml:space="preserve">A3-07</t>
  </si>
  <si>
    <t xml:space="preserve">Responsabilização (accountability): o projetista mostra evidências de que suas escolhas atendem aos requisitos e garante que propriedades já estabelecidas continuam valendo nas etapas seguintes; assurance cases ajudam nisso.</t>
  </si>
  <si>
    <t xml:space="preserve">Útil também para a seção de AI Assurance do artigo da TE-251.</t>
  </si>
  <si>
    <t xml:space="preserve">A3-08</t>
  </si>
  <si>
    <t xml:space="preserve">Por causa das anomalias temporais, garantir segurança para o pior tempo de execução (WCET) não garante segurança para tempos de execução menores.</t>
  </si>
  <si>
    <t xml:space="preserve">A3-09</t>
  </si>
  <si>
    <t xml:space="preserve">Expressividade universal na coordenação de componentes é obtida combinando interação multipartidária e prioridades, o que motivou o framework BIP.</t>
  </si>
  <si>
    <t xml:space="preserve">A3-10</t>
  </si>
  <si>
    <t xml:space="preserve">Mesmo que os objetivos sejam atingidos, o projeto de sistemas nunca terá o grau de automação do projeto VLSI.</t>
  </si>
  <si>
    <t xml:space="preserve">p. 10</t>
  </si>
  <si>
    <t xml:space="preserve">A4-01</t>
  </si>
  <si>
    <t xml:space="preserve">Lozano et al., 2023</t>
  </si>
  <si>
    <t xml:space="preserve">Revisão abrangente dos trabalhos que usam hipervisores como base para sistemas embarcados críticos virtualizados, com comparação qualitativa; os autores dizem ser a primeira a reunir essa informação num só artigo.</t>
  </si>
  <si>
    <t xml:space="preserve">A4-02</t>
  </si>
  <si>
    <t xml:space="preserve">A adoção lenta de multicore em setores críticos se deve à interferência entre núcleos que disputam recursos compartilhados e ao impacto disso no WCET.</t>
  </si>
  <si>
    <t xml:space="preserve">A4-03</t>
  </si>
  <si>
    <t xml:space="preserve">A busca foi feita no IEEE Xplore e no Science Direct, complementada pelo Google Scholar; só entraram artigos de periódicos e anais, e livros foram descartados.</t>
  </si>
  <si>
    <t xml:space="preserve">A4-04</t>
  </si>
  <si>
    <t xml:space="preserve">Virtualização completa pode impor até 30% mais latência do que a execução direta no hardware.</t>
  </si>
  <si>
    <t xml:space="preserve">A4-05</t>
  </si>
  <si>
    <t xml:space="preserve">O ARINC 653 (primeiro rascunho em 1996) especifica particionamento temporal e espacial; sua interface APEX padroniza a ligação entre hipervisor/SO e aplicação.</t>
  </si>
  <si>
    <t xml:space="preserve">A4-06</t>
  </si>
  <si>
    <t xml:space="preserve">A eletrônica responde por cerca de 35% do custo de um veículo, com previsão de 50% até 2030; um carro atual tem mais de 150 ECUs.</t>
  </si>
  <si>
    <t xml:space="preserve">A4-07</t>
  </si>
  <si>
    <t xml:space="preserve">70% dos hipervisores analisados oferecem paravirtualização; só 25% são claramente do tipo 2.</t>
  </si>
  <si>
    <t xml:space="preserve">p. 14</t>
  </si>
  <si>
    <t xml:space="preserve">A4-08</t>
  </si>
  <si>
    <t xml:space="preserve">Linux é o SO convidado mais comum (até 85% dos hipervisores); ARM é a arquitetura mais suportada (70%), seguida de x86 (50%), RISC-V (25%) e PowerPC (15%).</t>
  </si>
  <si>
    <t xml:space="preserve">p. 14–16</t>
  </si>
  <si>
    <t xml:space="preserve">Afirmação espalhada por três páginas, entre tabelas.</t>
  </si>
  <si>
    <t xml:space="preserve">A4-09</t>
  </si>
  <si>
    <t xml:space="preserve">EUA, Alemanha e França respondem por 50% dos hipervisores analisados.</t>
  </si>
  <si>
    <t xml:space="preserve">p. 17</t>
  </si>
  <si>
    <t xml:space="preserve">A4-10</t>
  </si>
  <si>
    <t xml:space="preserve">Para sistemas críticos recomendam o XtratuM (API mais próxima da APEX do ARINC 653) e, para sistemas mais simples, particionamento estático (Bao, Jailhouse); hipervisores sem manutenção (Quest-V, Rodosvisor, RTZVisor) devem ser evitados.</t>
  </si>
  <si>
    <t xml:space="preserve">A5-01</t>
  </si>
  <si>
    <t xml:space="preserve">Mzid, 2024</t>
  </si>
  <si>
    <t xml:space="preserve">Propõe padrões de projeto de verificação de tempo real que encapsulam o conhecimento de um especialista em escalonamento, para antecipar a verificação de propriedades temporais numa abordagem baseada em modelos.</t>
  </si>
  <si>
    <t xml:space="preserve">A5-02</t>
  </si>
  <si>
    <t xml:space="preserve">A análise de escalonamento é vista como difícil; ferramentas como MAST, CHEDDAR e SIMSO costumam ser usadas só por projetistas experientes.</t>
  </si>
  <si>
    <t xml:space="preserve">A5-03</t>
  </si>
  <si>
    <t xml:space="preserve">Propõe o processo P2VRT e uma ferramenta que gera automaticamente modelos de análise para MAST, CHEDDAR e SIMSO, com verificação de consistência do modelo de projeto.</t>
  </si>
  <si>
    <t xml:space="preserve">A5-04</t>
  </si>
  <si>
    <t xml:space="preserve">Rate Monotonic é ótimo entre os esquemas de prioridade fixa para tarefas periódicas ou esporádicas, independentes, síncronas e com deadline igual ao período.</t>
  </si>
  <si>
    <t xml:space="preserve">A5-05</t>
  </si>
  <si>
    <t xml:space="preserve">O catálogo atual tem duas categorias de padrões: uma para o fator de utilização do processador e outra para o tempo de resposta.</t>
  </si>
  <si>
    <t xml:space="preserve">A5-06</t>
  </si>
  <si>
    <t xml:space="preserve">O estudo de caso é um sistema de controle de cruzeiro automotivo com oito funções periódicas e duas unidades de execução (body_controller e engine_management) ligadas por barramento CAN.</t>
  </si>
  <si>
    <t xml:space="preserve">p. 22</t>
  </si>
  <si>
    <t xml:space="preserve">Meio do artigo: teste de 'lost in the middle'.</t>
  </si>
  <si>
    <t xml:space="preserve">A5-07</t>
  </si>
  <si>
    <t xml:space="preserve">Como os deadlines do estudo de caso não são iguais aos períodos, aplicar os padrões ótimos de RM e DM gera problemas de consistência, e o projetista adota o padrão RMIT.</t>
  </si>
  <si>
    <t xml:space="preserve">p. 27</t>
  </si>
  <si>
    <t xml:space="preserve">A5-08</t>
  </si>
  <si>
    <t xml:space="preserve">Com o padrão RMIT, todas as tarefas têm tempo de resposta menor que o deadline, logo o projeto é viável; CHEDDAR e SIMSO conferem o resultado do MAST.</t>
  </si>
  <si>
    <t xml:space="preserve">p. 30</t>
  </si>
  <si>
    <t xml:space="preserve">A5-09</t>
  </si>
  <si>
    <t xml:space="preserve">Limitação</t>
  </si>
  <si>
    <t xml:space="preserve">A aplicação dos padrões ainda é manual; modelos, padrões e código da ferramenta estão num repositório público para replicação.</t>
  </si>
  <si>
    <t xml:space="preserve">p. 36</t>
  </si>
  <si>
    <t xml:space="preserve">A5-10</t>
  </si>
  <si>
    <t xml:space="preserve">A análise determinística de escalonabilidade precisa ser complementada por métodos formais e análise de segurança.</t>
  </si>
  <si>
    <t xml:space="preserve">p. 39</t>
  </si>
  <si>
    <t xml:space="preserve">A6-01</t>
  </si>
  <si>
    <t xml:space="preserve">Young-S. et al., 2023</t>
  </si>
  <si>
    <t xml:space="preserve">Apresenta versões OpenMP em Fortran 90/95 de programas já publicados que resolvem a equação de Gross-Pitaevskii dipolar, com interação de contato, em 1D, 2D e 3D.</t>
  </si>
  <si>
    <t xml:space="preserve">A6-02</t>
  </si>
  <si>
    <t xml:space="preserve">Usa o esquema split-step semi-implícito de Crank-Nicolson, com propagação em tempo imaginário (estados estacionários) e em tempo real (dinâmica).</t>
  </si>
  <si>
    <t xml:space="preserve">A6-03</t>
  </si>
  <si>
    <t xml:space="preserve">Os programas foram testados com os compiladores GNU, Intel e Oracle (antiga Sun) e têm licença Apache 2.0.</t>
  </si>
  <si>
    <t xml:space="preserve">A6-04</t>
  </si>
  <si>
    <t xml:space="preserve">Os programas 3D e 2D são OpenMP; em 1D são versões autoparalelas, porque o OpenMP não reduz mais o tempo de execução.</t>
  </si>
  <si>
    <t xml:space="preserve">O artigo não informa nenhum número de speedup: se o agente citar um, é alucinação.</t>
  </si>
  <si>
    <t xml:space="preserve">A6-05</t>
  </si>
  <si>
    <t xml:space="preserve">Correção</t>
  </si>
  <si>
    <t xml:space="preserve">Os programas 1D e 2D das publicações anteriores usavam por engano as não linearidades 3D; as versões no arXiv não têm esse erro.</t>
  </si>
  <si>
    <t xml:space="preserve">A6-06</t>
  </si>
  <si>
    <t xml:space="preserve">A FFT fica mais eficiente com número de pontos da grade em potência de 2.</t>
  </si>
  <si>
    <t xml:space="preserve">A7-01</t>
  </si>
  <si>
    <t xml:space="preserve">Leppänen et al., 2023</t>
  </si>
  <si>
    <t xml:space="preserve">Propõe um método aberto e independente de fabricante para integrar aceleradores FPGA customizados a uma plataforma OpenCL comum, envolvendo-os numa interface de hardware comum.</t>
  </si>
  <si>
    <t xml:space="preserve">A7-02</t>
  </si>
  <si>
    <t xml:space="preserve">As implementações OpenCL dos fabricantes coordenam mal dispositivos de fornecedores diferentes; o trabalho usa a PoCL, implementação OpenCL aberta, para resolver isso.</t>
  </si>
  <si>
    <t xml:space="preserve">A7-03</t>
  </si>
  <si>
    <t xml:space="preserve">A interface de hardware comum se chama AlmaIF.</t>
  </si>
  <si>
    <t xml:space="preserve">A7-04</t>
  </si>
  <si>
    <t xml:space="preserve">A avaliação usa dois aceleradores (um programável gerado com OpenASIP e outro com Vitis HLS) em dois FPGAs: Zynq XC7Z020 (SoC) e Alveo U280 (placa PCIe).</t>
  </si>
  <si>
    <t xml:space="preserve">A7-05</t>
  </si>
  <si>
    <t xml:space="preserve">Os aceleradores programáveis OpenASIP usam cerca de três vezes os recursos do acelerador gerado por HLS, por causa da programabilidade.</t>
  </si>
  <si>
    <t xml:space="preserve">A7-06</t>
  </si>
  <si>
    <t xml:space="preserve">O ponto de equilíbrio entre DMA e cópia para BRAM fica em cerca de 4000 bytes.</t>
  </si>
  <si>
    <t xml:space="preserve">A7-07</t>
  </si>
  <si>
    <t xml:space="preserve">Com grande volume de dados, o sistema com DMA termina até 8 vezes mais rápido que a cópia iniciada pelo host.</t>
  </si>
  <si>
    <t xml:space="preserve">A7-08</t>
  </si>
  <si>
    <t xml:space="preserve">A sincronização no chip reduz o tempo médio por kernel de 313 μs para 67 μs, 246 μs a menos.</t>
  </si>
  <si>
    <t xml:space="preserve">Divergência de arredondamento: resumo (p. 1) e conclusão (p. 10) falam em 250 μs.</t>
  </si>
  <si>
    <t xml:space="preserve">A7-09</t>
  </si>
  <si>
    <t xml:space="preserve">O estudo de caso é uma plataforma com dois dispositivos, controlada inteiramente por OpenCL, que faz inferência de CNN de áudio, do microfone à classificação.</t>
  </si>
  <si>
    <t xml:space="preserve">p. 1; 8</t>
  </si>
  <si>
    <t xml:space="preserve">A7-10</t>
  </si>
  <si>
    <t xml:space="preserve">Como trabalho futuro, pretendem suportar pipes OpenCL para streaming no chip mais eficiente.</t>
  </si>
  <si>
    <t xml:space="preserve">A8-01</t>
  </si>
  <si>
    <t xml:space="preserve">Yoshida et al., 2024</t>
  </si>
  <si>
    <t xml:space="preserve">Avalia como a versão do CUDA toolkit afeta desempenho, potência e energia de aplicações GPU em quatro arquiteturas (P100, V100, A100 e H100).</t>
  </si>
  <si>
    <t xml:space="preserve">p. 1–2</t>
  </si>
  <si>
    <t xml:space="preserve">A8-02</t>
  </si>
  <si>
    <t xml:space="preserve">Compilaram 32 kernels de 19 aplicações com nove versões do CUDA.</t>
  </si>
  <si>
    <t xml:space="preserve">Divergência interna: a p. 2 fala em 19 programas e a p. 3 em 34 kernels de 20 programas; a p. 4 explica parte da diferença (dois programas removidos), mas não fecha a conta. As 'nove versões' batem: a P100 usa CUDA12M no lugar de CUDA12F (p. 4).</t>
  </si>
  <si>
    <t xml:space="preserve">A8-03</t>
  </si>
  <si>
    <t xml:space="preserve">Em alguns casos, o código gerado por uma versão antiga é até 20% mais rápido que o da versão mais recente.</t>
  </si>
  <si>
    <t xml:space="preserve">A8-04</t>
  </si>
  <si>
    <t xml:space="preserve">Versões novas são preferíveis na maioria dos casos: CUDA8F é 1,16× mais lento que a versão mais recente na P100, e a diferença diminui a cada atualização.</t>
  </si>
  <si>
    <t xml:space="preserve">p. 1; 4</t>
  </si>
  <si>
    <t xml:space="preserve">A8-05</t>
  </si>
  <si>
    <t xml:space="preserve">As diferenças entre versões diminuem nas arquiteturas mais novas: de CUDA9L para CUDA11L ficam em até 12% (P100), 4% (V100) e 1% (A100).</t>
  </si>
  <si>
    <t xml:space="preserve">A8-06</t>
  </si>
  <si>
    <t xml:space="preserve">A potência quase não muda entre versões do CUDA: ±2%.</t>
  </si>
  <si>
    <t xml:space="preserve">A8-07</t>
  </si>
  <si>
    <t xml:space="preserve">A potência foi medida com nvidia-smi em intervalos de 1 ms.</t>
  </si>
  <si>
    <t xml:space="preserve">A8-08</t>
  </si>
  <si>
    <t xml:space="preserve">No FiniteDifferencesKernel na P100, CUDA8F e CUDA8L levam 1,84 s, 80% do tempo do CUDA12M (2,31 s), por desenrolamento de laço agressivo.</t>
  </si>
  <si>
    <t xml:space="preserve">A8-09</t>
  </si>
  <si>
    <t xml:space="preserve">Limitando os registradores (maxrregcount=40), o CUDA12M cai para 1,55 s nesse kernel, melhor que as versões antigas sem a opção.</t>
  </si>
  <si>
    <t xml:space="preserve">A8-10</t>
  </si>
  <si>
    <t xml:space="preserve">No likelihood_kernel na A100, CUDA9L e CUDA10F levam 0,19 s, 67% do tempo do CUDA12F (0,28 s), por causa da implementação de pow() da GCC usada como compilador host.</t>
  </si>
  <si>
    <t xml:space="preserve">A8-11</t>
  </si>
  <si>
    <t xml:space="preserve">Três fenômenos explicam os casos em que versões antigas vencem: desenrolamento de laço agressivo, escalonamento ineficiente de instruções e impacto do compilador host.</t>
  </si>
  <si>
    <t xml:space="preserve">A9-01</t>
  </si>
  <si>
    <t xml:space="preserve">FAA, 2024</t>
  </si>
  <si>
    <t xml:space="preserve">O AC 20-193 descreve um meio aceitável de cumprimento dos requisitos de aeronavegabilidade para processadores multicore (MCP) em sistemas embarcados de aeronaves; o documento não tem força de lei.</t>
  </si>
  <si>
    <t xml:space="preserve">A9-02</t>
  </si>
  <si>
    <t xml:space="preserve">Escopo</t>
  </si>
  <si>
    <t xml:space="preserve">Aplica-se a MCPs com dois ou mais núcleos ativados quando o IDAL de pelo menos uma aplicação hospedada, ou do hardware que contém o MCP, é A, B ou C; não se aplica quando todos os IDALs são D ou E.</t>
  </si>
  <si>
    <t xml:space="preserve">A9-03</t>
  </si>
  <si>
    <t xml:space="preserve">Não cobre a realocação dinâmica de aplicações entre núcleos: supõe que as aplicações são alocadas estaticamente aos núcleos na inicialização do MCP.</t>
  </si>
  <si>
    <t xml:space="preserve">Admite alocação 'multi-estática' (configuração pré-qualificada) como justificativa, também na p. 2.</t>
  </si>
  <si>
    <t xml:space="preserve">A9-04</t>
  </si>
  <si>
    <t xml:space="preserve">Não cobre simultaneous multithreading, porque o conhecimento da indústria e das autoridades sobre esse recurso ainda é insuficiente.</t>
  </si>
  <si>
    <t xml:space="preserve">A9-05</t>
  </si>
  <si>
    <t xml:space="preserve">Os objetivos não se aplicam a núcleos em lock-step nem a núcleos ligados só por barramentos convencionais de aviônica, sem memória ou cache compartilhada; isso inclui núcleos que atuam como coprocessadores ou processadores gráficos sob controle de outro núcleo.</t>
  </si>
  <si>
    <t xml:space="preserve">Relevante para GPUs e aceleradores: ponto de ligação com o tema da dissertação.</t>
  </si>
  <si>
    <t xml:space="preserve">A9-06</t>
  </si>
  <si>
    <t xml:space="preserve">A disputa pelos recursos compartilhados do MCP causa interferência temporal, que pode fazer as aplicações levarem muito mais tempo do que executando sozinhas.</t>
  </si>
  <si>
    <t xml:space="preserve">A9-07</t>
  </si>
  <si>
    <t xml:space="preserve">Há particionamento robusto de tempo quando nenhuma partição consome mais que sua alocação de tempo de execução, estejam as partições dos outros núcleos ativos executando ou não.</t>
  </si>
  <si>
    <t xml:space="preserve">A9-08</t>
  </si>
  <si>
    <t xml:space="preserve">Recomendação</t>
  </si>
  <si>
    <t xml:space="preserve">Recursos dinâmicos que alteram a frequência dos núcleos ou desativam núcleos para economizar energia podem não ser desejáveis em núcleos que executam software crítico.</t>
  </si>
  <si>
    <t xml:space="preserve">A9-09</t>
  </si>
  <si>
    <t xml:space="preserve">O WCET de um componente pode aumentar significativamente quando outros executam em paralelo nos demais núcleos, a ponto de faltar tempo para a função crítica.</t>
  </si>
  <si>
    <t xml:space="preserve">A9-10</t>
  </si>
  <si>
    <t xml:space="preserve">Plataformas com particionamento robusto podem verificar as aplicações e determinar o WCET separadamente; nas demais, o software sem interferência mitigada deve ser testado no MCP alvo com todo o software executando na configuração final.</t>
  </si>
  <si>
    <t xml:space="preserve">A9-11</t>
  </si>
  <si>
    <t xml:space="preserve">Os objetivos MCP_Resource_Usage_4 e MCP_Error_Handling_1 são exigidos para IDAL A ou B, mas não para IDAL C.</t>
  </si>
  <si>
    <t xml:space="preserve">p. 13</t>
  </si>
  <si>
    <t xml:space="preserve">Vem de uma tabela: teste de leitura de tabela extraída como texto.</t>
  </si>
  <si>
    <t xml:space="preserve">A10-01</t>
  </si>
  <si>
    <t xml:space="preserve">Peralta Quesada et al., 2023</t>
  </si>
  <si>
    <t xml:space="preserve">Avalia o SYCL, modelo de programação de mais alto nível, quanto a desempenho e programabilidade em aplicações críticas em plataformas embarcadas; até então só modelos de baixo nível, como CUDA e OpenCL, tinham sido avaliados.</t>
  </si>
  <si>
    <t xml:space="preserve">A10-02</t>
  </si>
  <si>
    <t xml:space="preserve">Usa a suíte GPU4S Bench (domínio espacial) e uma aplicação de detecção de pedestres (automotivo), numa NVIDIA GTX 1080 Ti e na plataforma embarcada NVIDIA Xavier AGX.</t>
  </si>
  <si>
    <t xml:space="preserve">A10-03</t>
  </si>
  <si>
    <t xml:space="preserve">A Khronos investiga, num grupo exploratório, o SYCL SC, um subconjunto da API SYCL voltado a sistemas críticos.</t>
  </si>
  <si>
    <t xml:space="preserve">A10-04</t>
  </si>
  <si>
    <t xml:space="preserve">A GPU4S Bench (OBPMark Kernels) faz parte da OBPMark, a suíte oficial de benchmarks da ESA usada em todos os novos projetos da agência.</t>
  </si>
  <si>
    <t xml:space="preserve">A10-05</t>
  </si>
  <si>
    <t xml:space="preserve">O modelo de memória Buffers é mais fácil para quem começa do zero, mas é mais lento; o USM usa ponteiros e alocação dinâmica, desencorajados em sistemas críticos, e ainda assim oferece o compromisso mais razoável entre diretrizes de segurança, complexidade e desempenho.</t>
  </si>
  <si>
    <t xml:space="preserve">A10-06</t>
  </si>
  <si>
    <t xml:space="preserve">Na Xavier AGX foi usado o modo de potência 2 (15 W), limite identificado no projeto GPU4S por causa da dissipação de calor no espaço: 4 núcleos de CPU a 1200 MHz e 8 SMs da GPU a 670 MHz.</t>
  </si>
  <si>
    <t xml:space="preserve">A10-07</t>
  </si>
  <si>
    <t xml:space="preserve">No servidor x86_64, as duas variantes SYCL ficam atrás do OpenMP na CPU, possivelmente porque o SYCL não permite definir o número de threads.</t>
  </si>
  <si>
    <t xml:space="preserve">A10-08</t>
  </si>
  <si>
    <t xml:space="preserve">Na Xavier, o SYCL é mais rápido que o OpenMP em convolução, LRN, softmax e transformada wavelet, os blocos menos intensivos computacionalmente.</t>
  </si>
  <si>
    <t xml:space="preserve">No servidor x86_64 (p. 5) acontece o contrário: o OpenMP vence.</t>
  </si>
  <si>
    <t xml:space="preserve">A10-09</t>
  </si>
  <si>
    <t xml:space="preserve">Na FFT, a versão SYCL USM é marginalmente mais rápida que a biblioteca da NVIDIA (cuFFT).</t>
  </si>
  <si>
    <t xml:space="preserve">p. 7–8</t>
  </si>
  <si>
    <t xml:space="preserve">A10-10</t>
  </si>
  <si>
    <t xml:space="preserve">No detector de pedestres, a versão final em SYCL chega a 16,02 FPS no servidor, acima dos 15,55 FPS do CUDA otimizado à mão; na Xavier fica em cerca de 0,54 FPS, contra 5 FPS do CUDA.</t>
  </si>
  <si>
    <t xml:space="preserve">Na p. 9, a versão com filas in-order dá 13,9 FPS no servidor e 0,49 FPS na Xavier: o agente não deve misturar as versões.</t>
  </si>
  <si>
    <t xml:space="preserve">A10-11</t>
  </si>
  <si>
    <t xml:space="preserve">Como trabalho futuro, pretendem avaliar outras implementações de SYCL, como a da Intel, e a ferramenta DPC++ Compatibility Tool.</t>
  </si>
  <si>
    <t xml:space="preserve">A11-01</t>
  </si>
  <si>
    <t xml:space="preserve">Loubach et al., 2019</t>
  </si>
  <si>
    <t xml:space="preserve">A indústria de aviônica tende a ser conservadora por causa dos requisitos de segurança crítica (por exemplo, controle de voo); o software segue a DO-178 e o hardware a DO-254.</t>
  </si>
  <si>
    <t xml:space="preserve">Fonte são slides, não o artigo completo.</t>
  </si>
  <si>
    <t xml:space="preserve">A11-02</t>
  </si>
  <si>
    <t xml:space="preserve">Melhorar o desempenho pela arquitetura está mais difícil com o fim do escalonamento de Dennard e a desaceleração da Lei de Moore, o que afeta a aviônica, cuja complexidade cresce exponencialmente a cada geração.</t>
  </si>
  <si>
    <t xml:space="preserve">A11-03</t>
  </si>
  <si>
    <t xml:space="preserve">A tendência em arquitetura de alto desempenho é usar arquiteturas de domínio específico (DSA) em vez das de propósito geral; áreas de pesquisa apontadas: arquiteturas abertas e computação reconfigurável em SoCs com processador e FPGA.</t>
  </si>
  <si>
    <t xml:space="preserve">A11-04</t>
  </si>
  <si>
    <t xml:space="preserve">O objetivo é discutir os próximos desafios da aviônica considerando a segurança crítica e a aplicação de modelos formais de computação junto com DSA.</t>
  </si>
  <si>
    <t xml:space="preserve">A11-05</t>
  </si>
  <si>
    <t xml:space="preserve">Quatro normas são tipicamente exigidas no processo de certificação de aeronaves.</t>
  </si>
  <si>
    <t xml:space="preserve">Quais são as normas aparece só numa figura do slide, que não vira texto: armadilha para o agente não inventar a lista.</t>
  </si>
  <si>
    <t xml:space="preserve">A11-06</t>
  </si>
  <si>
    <t xml:space="preserve">CPU (escalar) serve a algoritmos complexos mas escala pouco; GPU (vetorial) é eficiente em funções paralelizáveis mas sofre com a hierarquia de memória; FPGA (lógica programável) é customizável, mas pode levar horas para compilar e sintetizar.</t>
  </si>
  <si>
    <t xml:space="preserve">Vem de uma tabela.</t>
  </si>
  <si>
    <t xml:space="preserve">A11-07</t>
  </si>
  <si>
    <t xml:space="preserve">SoCs que integram elementos escalares e lógica programável são DSAs aplicáveis à aviônica desde que garantam a segurança do domínio; a proposta é combinar modelos de computação e reconfiguração em tempo de execução.</t>
  </si>
  <si>
    <t xml:space="preserve">A11-08</t>
  </si>
  <si>
    <t xml:space="preserve">Exemplo</t>
  </si>
  <si>
    <t xml:space="preserve">Exemplos de aplicação: redundância N-modular, processadores RISC carregados por reconfiguração parcial e rádio definido por software, este para enfrentar restrições de SWaP.</t>
  </si>
  <si>
    <t xml:space="preserve">A11-09</t>
  </si>
  <si>
    <t xml:space="preserve">Benefícios apontados: reuso de hardware com menor área de circuito, contribuição para minimizar SEU e controle do compromisso entre consumo de energia e desempenho.</t>
  </si>
  <si>
    <t xml:space="preserve">p. 18</t>
  </si>
  <si>
    <t xml:space="preserve">A11-10</t>
  </si>
  <si>
    <t xml:space="preserve">Desafios: portar software (C/C++, Ada) entre arquiteturas e garantir que a reconfiguração em IMA ocorra de forma segura e determinística.</t>
  </si>
  <si>
    <t xml:space="preserve">p. 19</t>
  </si>
  <si>
    <t xml:space="preserve">Nº</t>
  </si>
  <si>
    <t xml:space="preserve">Título</t>
  </si>
  <si>
    <t xml:space="preserve">Autores</t>
  </si>
  <si>
    <t xml:space="preserve">Veículo</t>
  </si>
  <si>
    <t xml:space="preserve">Ano</t>
  </si>
  <si>
    <t xml:space="preserve">Páginas (PDF)</t>
  </si>
  <si>
    <t xml:space="preserve">DOI</t>
  </si>
  <si>
    <t xml:space="preserve">Nº de afirmações</t>
  </si>
  <si>
    <t xml:space="preserve">Reconfigurable VLSI Design Architecture for Deep Learning Established Forelimb and Hindlimb Gesture Recognition for Rehabilitation Application</t>
  </si>
  <si>
    <t xml:space="preserve">A. Nimbekar, Y. V. Sai Dinesh, A. Gautam, V. Hunsigida, A. R. Nali, A. Acharyya</t>
  </si>
  <si>
    <t xml:space="preserve">IEEE Access, vol. 11</t>
  </si>
  <si>
    <t xml:space="preserve">2023</t>
  </si>
  <si>
    <t xml:space="preserve">10.1109/ACCESS.2023.3293422</t>
  </si>
  <si>
    <t xml:space="preserve">A Comparison of SYCL, OpenCL, CUDA, and OpenMP for Massively Parallel Support Vector Machine Classification on Multi-Vendor Hardware</t>
  </si>
  <si>
    <t xml:space="preserve">M. Breyer, A. Van Craen, D. Pflüger</t>
  </si>
  <si>
    <t xml:space="preserve">IWOCL'22 (ACM)</t>
  </si>
  <si>
    <t xml:space="preserve">2022</t>
  </si>
  <si>
    <t xml:space="preserve">10.1145/3529538.3529980</t>
  </si>
  <si>
    <t xml:space="preserve">System Design Automation: Challenges and Limitations</t>
  </si>
  <si>
    <t xml:space="preserve">J. Sifakis</t>
  </si>
  <si>
    <t xml:space="preserve">Proceedings of the IEEE, vol. 103, n. 11</t>
  </si>
  <si>
    <t xml:space="preserve">2015</t>
  </si>
  <si>
    <t xml:space="preserve">10.1109/JPROC.2015.2484060</t>
  </si>
  <si>
    <t xml:space="preserve">A Comprehensive Survey on the Use of Hypervisors in Safety-Critical Systems</t>
  </si>
  <si>
    <t xml:space="preserve">S. Lozano, T. Lugo, J. Carretero</t>
  </si>
  <si>
    <t xml:space="preserve">10.1109/ACCESS.2023.3264825</t>
  </si>
  <si>
    <t xml:space="preserve">Real-time design patterns for the verification of safety-critical embedded systems in model-based approach</t>
  </si>
  <si>
    <t xml:space="preserve">R. Mzid</t>
  </si>
  <si>
    <t xml:space="preserve">The Journal of Supercomputing, vol. 80</t>
  </si>
  <si>
    <t xml:space="preserve">2024</t>
  </si>
  <si>
    <t xml:space="preserve">10.1007/s11227-023-05866-0</t>
  </si>
  <si>
    <t xml:space="preserve">OpenMP Fortran programs for solving the time-dependent dipolar Gross-Pitaevskii equation</t>
  </si>
  <si>
    <t xml:space="preserve">L. E. Young-S., P. Muruganandam, A. Balaž, S. K. Adhikari</t>
  </si>
  <si>
    <t xml:space="preserve">Computer Physics Communications, vol. 286</t>
  </si>
  <si>
    <t xml:space="preserve">10.1016/j.cpc.2023.108669</t>
  </si>
  <si>
    <t xml:space="preserve">Efficient OpenCL system integration of non-blocking FPGA accelerators</t>
  </si>
  <si>
    <t xml:space="preserve">T. Leppänen, A. Lotvonen, P. Mousouliotis, J. Multanen, G. Keramidas, P. Jääskeläinen</t>
  </si>
  <si>
    <t xml:space="preserve">Microprocessors and Microsystems, vol. 97</t>
  </si>
  <si>
    <t xml:space="preserve">10.1016/j.micpro.2023.104772</t>
  </si>
  <si>
    <t xml:space="preserve">Analyzing the impact of CUDA versions on GPU applications</t>
  </si>
  <si>
    <t xml:space="preserve">K. Yoshida, S. Miwa, H. Yamaki, H. Honda</t>
  </si>
  <si>
    <t xml:space="preserve">Parallel Computing, vol. 120</t>
  </si>
  <si>
    <t xml:space="preserve">10.1016/j.parco.2024.103081</t>
  </si>
  <si>
    <t xml:space="preserve">Advisory Circular AC 20-193: Use of Multi-Core Processors</t>
  </si>
  <si>
    <t xml:space="preserve">Federal Aviation Administration (AIR-622)</t>
  </si>
  <si>
    <t xml:space="preserve">FAA Advisory Circular</t>
  </si>
  <si>
    <t xml:space="preserve">—</t>
  </si>
  <si>
    <t xml:space="preserve">Evaluation of SYCL's Suitability for High-Performance Critical Systems</t>
  </si>
  <si>
    <t xml:space="preserve">C. Peralta Quesada, M. M. Trompouki, L. Kosmidis</t>
  </si>
  <si>
    <t xml:space="preserve">IWOCL'23 (ACM)</t>
  </si>
  <si>
    <t xml:space="preserve">10.1145/3585341.3585378</t>
  </si>
  <si>
    <t xml:space="preserve">Considerations on Domain-Specific Architectures Applicability in Future Avionics Systems (slides)</t>
  </si>
  <si>
    <t xml:space="preserve">D. S. Loubach, J. C. Marques, A. M. da Cunha</t>
  </si>
  <si>
    <t xml:space="preserve">10th Aerospace Technology Congress (FT2019), Stockholm</t>
  </si>
  <si>
    <t xml:space="preserve">2019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</si>
</sst>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B8860B"/>
        <bgColor rgb="FFFF9900"/>
      </patternFill>
    </fill>
    <fill>
      <patternFill patternType="solid">
        <fgColor rgb="FFFFF4C2"/>
        <bgColor rgb="FFFCE3C4"/>
      </patternFill>
    </fill>
    <fill>
      <patternFill patternType="solid">
        <fgColor rgb="FFF3F6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3F6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8860B"/>
          <bgColor rgb="FF000000"/>
        </patternFill>
      </fill>
    </dxf>
    <dxf>
      <fill>
        <patternFill patternType="solid">
          <fgColor rgb="FFFFF4C2"/>
          <bgColor rgb="FF000000"/>
        </patternFill>
      </fill>
    </dxf>
    <dxf>
      <fill>
        <patternFill>
          <bgColor rgb="FFD5F0DD"/>
        </patternFill>
      </fill>
    </dxf>
    <dxf>
      <fill>
        <patternFill>
          <bgColor rgb="FFFCE3C4"/>
        </patternFill>
      </fill>
    </dxf>
    <dxf>
      <fill>
        <patternFill>
          <bgColor rgb="FFF6D0D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C0C0C0"/>
      <rgbColor rgb="FF808080"/>
      <rgbColor rgb="FF9999FF"/>
      <rgbColor rgb="FF993366"/>
      <rgbColor rgb="FFFFF4C2"/>
      <rgbColor rgb="FFF3F6FA"/>
      <rgbColor rgb="FF660066"/>
      <rgbColor rgb="FFFF8080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0DD"/>
      <rgbColor rgb="FFFCE3C4"/>
      <rgbColor rgb="FF99CCFF"/>
      <rgbColor rgb="FFFF99CC"/>
      <rgbColor rgb="FFCC99FF"/>
      <rgbColor rgb="FFF6D0D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95"/>
  </cols>
  <sheetData>
    <row r="1" customFormat="false" ht="17.25" hidden="false" customHeight="true" outlineLevel="0" collapsed="false">
      <c r="A1" s="2" t="s">
        <v>0</v>
      </c>
    </row>
    <row r="3" customFormat="false" ht="45" hidden="false" customHeight="true" outlineLevel="0" collapsed="false">
      <c r="A3" s="3" t="s">
        <v>1</v>
      </c>
      <c r="B3" s="4" t="s">
        <v>2</v>
      </c>
    </row>
    <row r="4" customFormat="false" ht="45" hidden="false" customHeight="true" outlineLevel="0" collapsed="false">
      <c r="A4" s="3" t="s">
        <v>3</v>
      </c>
      <c r="B4" s="4" t="s">
        <v>4</v>
      </c>
    </row>
    <row r="5" customFormat="false" ht="30" hidden="false" customHeight="true" outlineLevel="0" collapsed="false">
      <c r="A5" s="3" t="s">
        <v>5</v>
      </c>
      <c r="B5" s="4" t="s">
        <v>6</v>
      </c>
    </row>
    <row r="6" customFormat="false" ht="30" hidden="false" customHeight="true" outlineLevel="0" collapsed="false">
      <c r="A6" s="3" t="s">
        <v>7</v>
      </c>
      <c r="B6" s="4" t="s">
        <v>8</v>
      </c>
    </row>
    <row r="7" customFormat="false" ht="30" hidden="false" customHeight="true" outlineLevel="0" collapsed="false">
      <c r="A7" s="3" t="s">
        <v>9</v>
      </c>
      <c r="B7" s="4" t="s">
        <v>10</v>
      </c>
    </row>
    <row r="8" customFormat="false" ht="45" hidden="false" customHeight="true" outlineLevel="0" collapsed="false">
      <c r="A8" s="3" t="s">
        <v>11</v>
      </c>
      <c r="B8" s="4" t="s">
        <v>12</v>
      </c>
    </row>
    <row r="9" customFormat="false" ht="30" hidden="false" customHeight="true" outlineLevel="0" collapsed="false">
      <c r="A9" s="3" t="s">
        <v>13</v>
      </c>
      <c r="B9" s="4" t="s">
        <v>14</v>
      </c>
    </row>
    <row r="11" customFormat="false" ht="15" hidden="false" customHeight="true" outlineLevel="0" collapsed="false">
      <c r="A11" s="5" t="s">
        <v>15</v>
      </c>
    </row>
    <row r="12" customFormat="false" ht="15" hidden="false" customHeight="true" outlineLevel="0" collapsed="false">
      <c r="A12" s="6" t="s">
        <v>16</v>
      </c>
      <c r="B12" s="7" t="n">
        <f aca="false">COUNTA(Gabarito!A2:A1000)</f>
        <v>109</v>
      </c>
    </row>
    <row r="13" customFormat="false" ht="15" hidden="false" customHeight="true" outlineLevel="0" collapsed="false">
      <c r="A13" s="6" t="s">
        <v>17</v>
      </c>
      <c r="B13" s="7" t="n">
        <f aca="false">COUNTIF(Gabarito!I2:I1000,"Aprovada")</f>
        <v>0</v>
      </c>
    </row>
    <row r="14" customFormat="false" ht="15" hidden="false" customHeight="true" outlineLevel="0" collapsed="false">
      <c r="A14" s="6" t="s">
        <v>18</v>
      </c>
      <c r="B14" s="7" t="n">
        <f aca="false">COUNTIF(Gabarito!I2:I1000,"Corrigir")</f>
        <v>0</v>
      </c>
    </row>
    <row r="15" customFormat="false" ht="15" hidden="false" customHeight="true" outlineLevel="0" collapsed="false">
      <c r="A15" s="6" t="s">
        <v>19</v>
      </c>
      <c r="B15" s="7" t="n">
        <f aca="false">COUNTIF(Gabarito!I2:I1000,"Rejeitar")</f>
        <v>0</v>
      </c>
    </row>
    <row r="16" customFormat="false" ht="15" hidden="false" customHeight="true" outlineLevel="0" collapsed="false">
      <c r="A16" s="6" t="s">
        <v>20</v>
      </c>
      <c r="B16" s="7" t="n">
        <f aca="false">B12-B13-B14-B15</f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7"/>
    <col collapsed="false" customWidth="true" hidden="false" outlineLevel="0" max="3" min="3" style="1" width="18"/>
    <col collapsed="false" customWidth="true" hidden="false" outlineLevel="0" max="4" min="4" style="1" width="13"/>
    <col collapsed="false" customWidth="true" hidden="false" outlineLevel="0" max="5" min="5" style="1" width="70"/>
    <col collapsed="false" customWidth="true" hidden="false" outlineLevel="0" max="6" min="6" style="1" width="11"/>
    <col collapsed="false" customWidth="true" hidden="false" outlineLevel="0" max="7" min="7" style="1" width="8"/>
    <col collapsed="false" customWidth="true" hidden="false" outlineLevel="0" max="8" min="8" style="1" width="9"/>
    <col collapsed="false" customWidth="true" hidden="false" outlineLevel="0" max="9" min="9" style="1" width="12"/>
    <col collapsed="false" customWidth="true" hidden="false" outlineLevel="0" max="10" min="10" style="1" width="34"/>
    <col collapsed="false" customWidth="true" hidden="false" outlineLevel="0" max="11" min="11" style="1" width="40"/>
  </cols>
  <sheetData>
    <row r="1" customFormat="false" ht="34.5" hidden="false" customHeight="true" outlineLevel="0" collapsed="false">
      <c r="A1" s="8" t="s">
        <v>21</v>
      </c>
      <c r="B1" s="8" t="s">
        <v>22</v>
      </c>
      <c r="C1" s="8" t="s">
        <v>23</v>
      </c>
      <c r="D1" s="8" t="s">
        <v>24</v>
      </c>
      <c r="E1" s="8" t="s">
        <v>25</v>
      </c>
      <c r="F1" s="8" t="s">
        <v>26</v>
      </c>
      <c r="G1" s="8" t="s">
        <v>27</v>
      </c>
      <c r="H1" s="8" t="s">
        <v>28</v>
      </c>
      <c r="I1" s="9" t="s">
        <v>29</v>
      </c>
      <c r="J1" s="9" t="s">
        <v>30</v>
      </c>
      <c r="K1" s="8" t="s">
        <v>31</v>
      </c>
    </row>
    <row r="2" customFormat="false" ht="45" hidden="false" customHeight="true" outlineLevel="0" collapsed="false">
      <c r="A2" s="10" t="s">
        <v>32</v>
      </c>
      <c r="B2" s="10" t="n">
        <v>1</v>
      </c>
      <c r="C2" s="11" t="s">
        <v>33</v>
      </c>
      <c r="D2" s="11" t="s">
        <v>34</v>
      </c>
      <c r="E2" s="11" t="s">
        <v>35</v>
      </c>
      <c r="F2" s="10" t="s">
        <v>36</v>
      </c>
      <c r="G2" s="10" t="n">
        <v>1</v>
      </c>
      <c r="H2" s="10" t="str">
        <f aca="false">IF(G2/INDEX(Artigos!$G$2:$G$12,MATCH(B2,Artigos!$A$2:$A$12,0))&lt;=1/3,"início",IF(G2/INDEX(Artigos!$G$2:$G$12,MATCH(B2,Artigos!$A$2:$A$12,0))&lt;=2/3,"meio","fim"))</f>
        <v>início</v>
      </c>
      <c r="I2" s="12"/>
      <c r="J2" s="13"/>
      <c r="K2" s="11" t="s">
        <v>37</v>
      </c>
    </row>
    <row r="3" customFormat="false" ht="15" hidden="false" customHeight="true" outlineLevel="0" collapsed="false">
      <c r="A3" s="10" t="s">
        <v>38</v>
      </c>
      <c r="B3" s="10" t="n">
        <v>1</v>
      </c>
      <c r="C3" s="11" t="s">
        <v>33</v>
      </c>
      <c r="D3" s="11" t="s">
        <v>39</v>
      </c>
      <c r="E3" s="11" t="s">
        <v>40</v>
      </c>
      <c r="F3" s="10" t="s">
        <v>36</v>
      </c>
      <c r="G3" s="10" t="n">
        <v>1</v>
      </c>
      <c r="H3" s="10" t="str">
        <f aca="false">IF(G3/INDEX(Artigos!$G$2:$G$12,MATCH(B3,Artigos!$A$2:$A$12,0))&lt;=1/3,"início",IF(G3/INDEX(Artigos!$G$2:$G$12,MATCH(B3,Artigos!$A$2:$A$12,0))&lt;=2/3,"meio","fim"))</f>
        <v>início</v>
      </c>
      <c r="I3" s="12"/>
      <c r="J3" s="13"/>
      <c r="K3" s="11"/>
    </row>
    <row r="4" customFormat="false" ht="45" hidden="false" customHeight="true" outlineLevel="0" collapsed="false">
      <c r="A4" s="10" t="s">
        <v>41</v>
      </c>
      <c r="B4" s="10" t="n">
        <v>1</v>
      </c>
      <c r="C4" s="11" t="s">
        <v>33</v>
      </c>
      <c r="D4" s="11" t="s">
        <v>39</v>
      </c>
      <c r="E4" s="11" t="s">
        <v>42</v>
      </c>
      <c r="F4" s="10" t="s">
        <v>43</v>
      </c>
      <c r="G4" s="10" t="n">
        <v>5</v>
      </c>
      <c r="H4" s="10" t="str">
        <f aca="false">IF(G4/INDEX(Artigos!$G$2:$G$12,MATCH(B4,Artigos!$A$2:$A$12,0))&lt;=1/3,"início",IF(G4/INDEX(Artigos!$G$2:$G$12,MATCH(B4,Artigos!$A$2:$A$12,0))&lt;=2/3,"meio","fim"))</f>
        <v>meio</v>
      </c>
      <c r="I4" s="12"/>
      <c r="J4" s="13"/>
      <c r="K4" s="11"/>
    </row>
    <row r="5" customFormat="false" ht="30" hidden="false" customHeight="true" outlineLevel="0" collapsed="false">
      <c r="A5" s="10" t="s">
        <v>44</v>
      </c>
      <c r="B5" s="10" t="n">
        <v>1</v>
      </c>
      <c r="C5" s="11" t="s">
        <v>33</v>
      </c>
      <c r="D5" s="11" t="s">
        <v>39</v>
      </c>
      <c r="E5" s="11" t="s">
        <v>45</v>
      </c>
      <c r="F5" s="10" t="s">
        <v>43</v>
      </c>
      <c r="G5" s="10" t="n">
        <v>5</v>
      </c>
      <c r="H5" s="10" t="str">
        <f aca="false">IF(G5/INDEX(Artigos!$G$2:$G$12,MATCH(B5,Artigos!$A$2:$A$12,0))&lt;=1/3,"início",IF(G5/INDEX(Artigos!$G$2:$G$12,MATCH(B5,Artigos!$A$2:$A$12,0))&lt;=2/3,"meio","fim"))</f>
        <v>meio</v>
      </c>
      <c r="I5" s="12"/>
      <c r="J5" s="13"/>
      <c r="K5" s="11"/>
    </row>
    <row r="6" customFormat="false" ht="15" hidden="false" customHeight="true" outlineLevel="0" collapsed="false">
      <c r="A6" s="10" t="s">
        <v>46</v>
      </c>
      <c r="B6" s="10" t="n">
        <v>1</v>
      </c>
      <c r="C6" s="11" t="s">
        <v>33</v>
      </c>
      <c r="D6" s="11" t="s">
        <v>47</v>
      </c>
      <c r="E6" s="11" t="s">
        <v>48</v>
      </c>
      <c r="F6" s="10" t="s">
        <v>49</v>
      </c>
      <c r="G6" s="10" t="n">
        <v>6</v>
      </c>
      <c r="H6" s="10" t="str">
        <f aca="false">IF(G6/INDEX(Artigos!$G$2:$G$12,MATCH(B6,Artigos!$A$2:$A$12,0))&lt;=1/3,"início",IF(G6/INDEX(Artigos!$G$2:$G$12,MATCH(B6,Artigos!$A$2:$A$12,0))&lt;=2/3,"meio","fim"))</f>
        <v>meio</v>
      </c>
      <c r="I6" s="12"/>
      <c r="J6" s="13"/>
      <c r="K6" s="11"/>
    </row>
    <row r="7" customFormat="false" ht="30" hidden="false" customHeight="true" outlineLevel="0" collapsed="false">
      <c r="A7" s="10" t="s">
        <v>50</v>
      </c>
      <c r="B7" s="10" t="n">
        <v>1</v>
      </c>
      <c r="C7" s="11" t="s">
        <v>33</v>
      </c>
      <c r="D7" s="11" t="s">
        <v>47</v>
      </c>
      <c r="E7" s="11" t="s">
        <v>51</v>
      </c>
      <c r="F7" s="10" t="s">
        <v>52</v>
      </c>
      <c r="G7" s="10" t="n">
        <v>7</v>
      </c>
      <c r="H7" s="10" t="str">
        <f aca="false">IF(G7/INDEX(Artigos!$G$2:$G$12,MATCH(B7,Artigos!$A$2:$A$12,0))&lt;=1/3,"início",IF(G7/INDEX(Artigos!$G$2:$G$12,MATCH(B7,Artigos!$A$2:$A$12,0))&lt;=2/3,"meio","fim"))</f>
        <v>fim</v>
      </c>
      <c r="I7" s="12"/>
      <c r="J7" s="13"/>
      <c r="K7" s="11" t="s">
        <v>53</v>
      </c>
    </row>
    <row r="8" customFormat="false" ht="30" hidden="false" customHeight="true" outlineLevel="0" collapsed="false">
      <c r="A8" s="10" t="s">
        <v>54</v>
      </c>
      <c r="B8" s="10" t="n">
        <v>1</v>
      </c>
      <c r="C8" s="11" t="s">
        <v>33</v>
      </c>
      <c r="D8" s="11" t="s">
        <v>47</v>
      </c>
      <c r="E8" s="11" t="s">
        <v>55</v>
      </c>
      <c r="F8" s="10" t="s">
        <v>52</v>
      </c>
      <c r="G8" s="10" t="n">
        <v>7</v>
      </c>
      <c r="H8" s="10" t="str">
        <f aca="false">IF(G8/INDEX(Artigos!$G$2:$G$12,MATCH(B8,Artigos!$A$2:$A$12,0))&lt;=1/3,"início",IF(G8/INDEX(Artigos!$G$2:$G$12,MATCH(B8,Artigos!$A$2:$A$12,0))&lt;=2/3,"meio","fim"))</f>
        <v>fim</v>
      </c>
      <c r="I8" s="12"/>
      <c r="J8" s="13"/>
      <c r="K8" s="11" t="s">
        <v>56</v>
      </c>
    </row>
    <row r="9" customFormat="false" ht="30" hidden="false" customHeight="true" outlineLevel="0" collapsed="false">
      <c r="A9" s="10" t="s">
        <v>57</v>
      </c>
      <c r="B9" s="10" t="n">
        <v>1</v>
      </c>
      <c r="C9" s="11" t="s">
        <v>33</v>
      </c>
      <c r="D9" s="11" t="s">
        <v>47</v>
      </c>
      <c r="E9" s="11" t="s">
        <v>58</v>
      </c>
      <c r="F9" s="10" t="s">
        <v>59</v>
      </c>
      <c r="G9" s="10" t="n">
        <v>1</v>
      </c>
      <c r="H9" s="10" t="str">
        <f aca="false">IF(G9/INDEX(Artigos!$G$2:$G$12,MATCH(B9,Artigos!$A$2:$A$12,0))&lt;=1/3,"início",IF(G9/INDEX(Artigos!$G$2:$G$12,MATCH(B9,Artigos!$A$2:$A$12,0))&lt;=2/3,"meio","fim"))</f>
        <v>início</v>
      </c>
      <c r="I9" s="12"/>
      <c r="J9" s="13"/>
      <c r="K9" s="11"/>
    </row>
    <row r="10" customFormat="false" ht="30" hidden="false" customHeight="true" outlineLevel="0" collapsed="false">
      <c r="A10" s="10" t="s">
        <v>60</v>
      </c>
      <c r="B10" s="10" t="n">
        <v>1</v>
      </c>
      <c r="C10" s="11" t="s">
        <v>33</v>
      </c>
      <c r="D10" s="11" t="s">
        <v>47</v>
      </c>
      <c r="E10" s="11" t="s">
        <v>61</v>
      </c>
      <c r="F10" s="10" t="s">
        <v>52</v>
      </c>
      <c r="G10" s="10" t="n">
        <v>7</v>
      </c>
      <c r="H10" s="10" t="str">
        <f aca="false">IF(G10/INDEX(Artigos!$G$2:$G$12,MATCH(B10,Artigos!$A$2:$A$12,0))&lt;=1/3,"início",IF(G10/INDEX(Artigos!$G$2:$G$12,MATCH(B10,Artigos!$A$2:$A$12,0))&lt;=2/3,"meio","fim"))</f>
        <v>fim</v>
      </c>
      <c r="I10" s="12"/>
      <c r="J10" s="13"/>
      <c r="K10" s="11" t="s">
        <v>62</v>
      </c>
    </row>
    <row r="11" customFormat="false" ht="15" hidden="false" customHeight="true" outlineLevel="0" collapsed="false">
      <c r="A11" s="10" t="s">
        <v>63</v>
      </c>
      <c r="B11" s="10" t="n">
        <v>1</v>
      </c>
      <c r="C11" s="11" t="s">
        <v>33</v>
      </c>
      <c r="D11" s="11" t="s">
        <v>64</v>
      </c>
      <c r="E11" s="11" t="s">
        <v>65</v>
      </c>
      <c r="F11" s="10" t="s">
        <v>66</v>
      </c>
      <c r="G11" s="10" t="n">
        <v>8</v>
      </c>
      <c r="H11" s="10" t="str">
        <f aca="false">IF(G11/INDEX(Artigos!$G$2:$G$12,MATCH(B11,Artigos!$A$2:$A$12,0))&lt;=1/3,"início",IF(G11/INDEX(Artigos!$G$2:$G$12,MATCH(B11,Artigos!$A$2:$A$12,0))&lt;=2/3,"meio","fim"))</f>
        <v>fim</v>
      </c>
      <c r="I11" s="12"/>
      <c r="J11" s="13"/>
      <c r="K11" s="11"/>
    </row>
    <row r="12" customFormat="false" ht="45" hidden="false" customHeight="true" outlineLevel="0" collapsed="false">
      <c r="A12" s="14" t="s">
        <v>67</v>
      </c>
      <c r="B12" s="14" t="n">
        <v>2</v>
      </c>
      <c r="C12" s="15" t="s">
        <v>68</v>
      </c>
      <c r="D12" s="15" t="s">
        <v>34</v>
      </c>
      <c r="E12" s="15" t="s">
        <v>69</v>
      </c>
      <c r="F12" s="14" t="s">
        <v>36</v>
      </c>
      <c r="G12" s="14" t="n">
        <v>1</v>
      </c>
      <c r="H12" s="14" t="str">
        <f aca="false">IF(G12/INDEX(Artigos!$G$2:$G$12,MATCH(B12,Artigos!$A$2:$A$12,0))&lt;=1/3,"início",IF(G12/INDEX(Artigos!$G$2:$G$12,MATCH(B12,Artigos!$A$2:$A$12,0))&lt;=2/3,"meio","fim"))</f>
        <v>início</v>
      </c>
      <c r="I12" s="12"/>
      <c r="J12" s="13"/>
      <c r="K12" s="15"/>
    </row>
    <row r="13" customFormat="false" ht="30" hidden="false" customHeight="true" outlineLevel="0" collapsed="false">
      <c r="A13" s="14" t="s">
        <v>70</v>
      </c>
      <c r="B13" s="14" t="n">
        <v>2</v>
      </c>
      <c r="C13" s="15" t="s">
        <v>68</v>
      </c>
      <c r="D13" s="15" t="s">
        <v>39</v>
      </c>
      <c r="E13" s="15" t="s">
        <v>71</v>
      </c>
      <c r="F13" s="14" t="s">
        <v>36</v>
      </c>
      <c r="G13" s="14" t="n">
        <v>1</v>
      </c>
      <c r="H13" s="14" t="str">
        <f aca="false">IF(G13/INDEX(Artigos!$G$2:$G$12,MATCH(B13,Artigos!$A$2:$A$12,0))&lt;=1/3,"início",IF(G13/INDEX(Artigos!$G$2:$G$12,MATCH(B13,Artigos!$A$2:$A$12,0))&lt;=2/3,"meio","fim"))</f>
        <v>início</v>
      </c>
      <c r="I13" s="12"/>
      <c r="J13" s="13"/>
      <c r="K13" s="15"/>
    </row>
    <row r="14" customFormat="false" ht="30" hidden="false" customHeight="true" outlineLevel="0" collapsed="false">
      <c r="A14" s="14" t="s">
        <v>72</v>
      </c>
      <c r="B14" s="14" t="n">
        <v>2</v>
      </c>
      <c r="C14" s="15" t="s">
        <v>68</v>
      </c>
      <c r="D14" s="15" t="s">
        <v>47</v>
      </c>
      <c r="E14" s="15" t="s">
        <v>73</v>
      </c>
      <c r="F14" s="14" t="s">
        <v>43</v>
      </c>
      <c r="G14" s="14" t="n">
        <v>5</v>
      </c>
      <c r="H14" s="14" t="str">
        <f aca="false">IF(G14/INDEX(Artigos!$G$2:$G$12,MATCH(B14,Artigos!$A$2:$A$12,0))&lt;=1/3,"início",IF(G14/INDEX(Artigos!$G$2:$G$12,MATCH(B14,Artigos!$A$2:$A$12,0))&lt;=2/3,"meio","fim"))</f>
        <v>meio</v>
      </c>
      <c r="I14" s="12"/>
      <c r="J14" s="13"/>
      <c r="K14" s="15"/>
    </row>
    <row r="15" customFormat="false" ht="30" hidden="false" customHeight="true" outlineLevel="0" collapsed="false">
      <c r="A15" s="14" t="s">
        <v>74</v>
      </c>
      <c r="B15" s="14" t="n">
        <v>2</v>
      </c>
      <c r="C15" s="15" t="s">
        <v>68</v>
      </c>
      <c r="D15" s="15" t="s">
        <v>39</v>
      </c>
      <c r="E15" s="15" t="s">
        <v>75</v>
      </c>
      <c r="F15" s="14" t="s">
        <v>76</v>
      </c>
      <c r="G15" s="14" t="n">
        <v>4</v>
      </c>
      <c r="H15" s="14" t="str">
        <f aca="false">IF(G15/INDEX(Artigos!$G$2:$G$12,MATCH(B15,Artigos!$A$2:$A$12,0))&lt;=1/3,"início",IF(G15/INDEX(Artigos!$G$2:$G$12,MATCH(B15,Artigos!$A$2:$A$12,0))&lt;=2/3,"meio","fim"))</f>
        <v>início</v>
      </c>
      <c r="I15" s="12"/>
      <c r="J15" s="13"/>
      <c r="K15" s="15"/>
    </row>
    <row r="16" customFormat="false" ht="30" hidden="false" customHeight="true" outlineLevel="0" collapsed="false">
      <c r="A16" s="14" t="s">
        <v>77</v>
      </c>
      <c r="B16" s="14" t="n">
        <v>2</v>
      </c>
      <c r="C16" s="15" t="s">
        <v>68</v>
      </c>
      <c r="D16" s="15" t="s">
        <v>47</v>
      </c>
      <c r="E16" s="15" t="s">
        <v>78</v>
      </c>
      <c r="F16" s="14" t="s">
        <v>66</v>
      </c>
      <c r="G16" s="14" t="n">
        <v>8</v>
      </c>
      <c r="H16" s="14" t="str">
        <f aca="false">IF(G16/INDEX(Artigos!$G$2:$G$12,MATCH(B16,Artigos!$A$2:$A$12,0))&lt;=1/3,"início",IF(G16/INDEX(Artigos!$G$2:$G$12,MATCH(B16,Artigos!$A$2:$A$12,0))&lt;=2/3,"meio","fim"))</f>
        <v>meio</v>
      </c>
      <c r="I16" s="12"/>
      <c r="J16" s="13"/>
      <c r="K16" s="15"/>
    </row>
    <row r="17" customFormat="false" ht="30" hidden="false" customHeight="true" outlineLevel="0" collapsed="false">
      <c r="A17" s="14" t="s">
        <v>79</v>
      </c>
      <c r="B17" s="14" t="n">
        <v>2</v>
      </c>
      <c r="C17" s="15" t="s">
        <v>68</v>
      </c>
      <c r="D17" s="15" t="s">
        <v>47</v>
      </c>
      <c r="E17" s="15" t="s">
        <v>80</v>
      </c>
      <c r="F17" s="14" t="s">
        <v>66</v>
      </c>
      <c r="G17" s="14" t="n">
        <v>8</v>
      </c>
      <c r="H17" s="14" t="str">
        <f aca="false">IF(G17/INDEX(Artigos!$G$2:$G$12,MATCH(B17,Artigos!$A$2:$A$12,0))&lt;=1/3,"início",IF(G17/INDEX(Artigos!$G$2:$G$12,MATCH(B17,Artigos!$A$2:$A$12,0))&lt;=2/3,"meio","fim"))</f>
        <v>meio</v>
      </c>
      <c r="I17" s="12"/>
      <c r="J17" s="13"/>
      <c r="K17" s="15"/>
    </row>
    <row r="18" customFormat="false" ht="45" hidden="false" customHeight="true" outlineLevel="0" collapsed="false">
      <c r="A18" s="14" t="s">
        <v>81</v>
      </c>
      <c r="B18" s="14" t="n">
        <v>2</v>
      </c>
      <c r="C18" s="15" t="s">
        <v>68</v>
      </c>
      <c r="D18" s="15" t="s">
        <v>47</v>
      </c>
      <c r="E18" s="15" t="s">
        <v>82</v>
      </c>
      <c r="F18" s="14" t="s">
        <v>66</v>
      </c>
      <c r="G18" s="14" t="n">
        <v>8</v>
      </c>
      <c r="H18" s="14" t="str">
        <f aca="false">IF(G18/INDEX(Artigos!$G$2:$G$12,MATCH(B18,Artigos!$A$2:$A$12,0))&lt;=1/3,"início",IF(G18/INDEX(Artigos!$G$2:$G$12,MATCH(B18,Artigos!$A$2:$A$12,0))&lt;=2/3,"meio","fim"))</f>
        <v>meio</v>
      </c>
      <c r="I18" s="12"/>
      <c r="J18" s="13"/>
      <c r="K18" s="15"/>
    </row>
    <row r="19" customFormat="false" ht="30" hidden="false" customHeight="true" outlineLevel="0" collapsed="false">
      <c r="A19" s="14" t="s">
        <v>83</v>
      </c>
      <c r="B19" s="14" t="n">
        <v>2</v>
      </c>
      <c r="C19" s="15" t="s">
        <v>68</v>
      </c>
      <c r="D19" s="15" t="s">
        <v>47</v>
      </c>
      <c r="E19" s="15" t="s">
        <v>84</v>
      </c>
      <c r="F19" s="14" t="s">
        <v>85</v>
      </c>
      <c r="G19" s="14" t="n">
        <v>9</v>
      </c>
      <c r="H19" s="14" t="str">
        <f aca="false">IF(G19/INDEX(Artigos!$G$2:$G$12,MATCH(B19,Artigos!$A$2:$A$12,0))&lt;=1/3,"início",IF(G19/INDEX(Artigos!$G$2:$G$12,MATCH(B19,Artigos!$A$2:$A$12,0))&lt;=2/3,"meio","fim"))</f>
        <v>fim</v>
      </c>
      <c r="I19" s="12"/>
      <c r="J19" s="13"/>
      <c r="K19" s="15"/>
    </row>
    <row r="20" customFormat="false" ht="30" hidden="false" customHeight="true" outlineLevel="0" collapsed="false">
      <c r="A20" s="14" t="s">
        <v>86</v>
      </c>
      <c r="B20" s="14" t="n">
        <v>2</v>
      </c>
      <c r="C20" s="15" t="s">
        <v>68</v>
      </c>
      <c r="D20" s="15" t="s">
        <v>64</v>
      </c>
      <c r="E20" s="15" t="s">
        <v>87</v>
      </c>
      <c r="F20" s="14" t="s">
        <v>88</v>
      </c>
      <c r="G20" s="14" t="n">
        <v>11</v>
      </c>
      <c r="H20" s="14" t="str">
        <f aca="false">IF(G20/INDEX(Artigos!$G$2:$G$12,MATCH(B20,Artigos!$A$2:$A$12,0))&lt;=1/3,"início",IF(G20/INDEX(Artigos!$G$2:$G$12,MATCH(B20,Artigos!$A$2:$A$12,0))&lt;=2/3,"meio","fim"))</f>
        <v>fim</v>
      </c>
      <c r="I20" s="12"/>
      <c r="J20" s="13"/>
      <c r="K20" s="15"/>
    </row>
    <row r="21" customFormat="false" ht="30" hidden="false" customHeight="true" outlineLevel="0" collapsed="false">
      <c r="A21" s="14" t="s">
        <v>89</v>
      </c>
      <c r="B21" s="14" t="n">
        <v>2</v>
      </c>
      <c r="C21" s="15" t="s">
        <v>68</v>
      </c>
      <c r="D21" s="15" t="s">
        <v>64</v>
      </c>
      <c r="E21" s="15" t="s">
        <v>90</v>
      </c>
      <c r="F21" s="14" t="s">
        <v>91</v>
      </c>
      <c r="G21" s="14" t="n">
        <v>11</v>
      </c>
      <c r="H21" s="14" t="str">
        <f aca="false">IF(G21/INDEX(Artigos!$G$2:$G$12,MATCH(B21,Artigos!$A$2:$A$12,0))&lt;=1/3,"início",IF(G21/INDEX(Artigos!$G$2:$G$12,MATCH(B21,Artigos!$A$2:$A$12,0))&lt;=2/3,"meio","fim"))</f>
        <v>fim</v>
      </c>
      <c r="I21" s="12"/>
      <c r="J21" s="13"/>
      <c r="K21" s="15" t="s">
        <v>92</v>
      </c>
    </row>
    <row r="22" customFormat="false" ht="45" hidden="false" customHeight="true" outlineLevel="0" collapsed="false">
      <c r="A22" s="10" t="s">
        <v>93</v>
      </c>
      <c r="B22" s="10" t="n">
        <v>3</v>
      </c>
      <c r="C22" s="11" t="s">
        <v>94</v>
      </c>
      <c r="D22" s="11" t="s">
        <v>34</v>
      </c>
      <c r="E22" s="11" t="s">
        <v>95</v>
      </c>
      <c r="F22" s="10" t="s">
        <v>36</v>
      </c>
      <c r="G22" s="10" t="n">
        <v>1</v>
      </c>
      <c r="H22" s="10" t="str">
        <f aca="false">IF(G22/INDEX(Artigos!$G$2:$G$12,MATCH(B22,Artigos!$A$2:$A$12,0))&lt;=1/3,"início",IF(G22/INDEX(Artigos!$G$2:$G$12,MATCH(B22,Artigos!$A$2:$A$12,0))&lt;=2/3,"meio","fim"))</f>
        <v>início</v>
      </c>
      <c r="I22" s="12"/>
      <c r="J22" s="13"/>
      <c r="K22" s="11"/>
    </row>
    <row r="23" customFormat="false" ht="30" hidden="false" customHeight="true" outlineLevel="0" collapsed="false">
      <c r="A23" s="10" t="s">
        <v>96</v>
      </c>
      <c r="B23" s="10" t="n">
        <v>3</v>
      </c>
      <c r="C23" s="11" t="s">
        <v>94</v>
      </c>
      <c r="D23" s="11" t="s">
        <v>34</v>
      </c>
      <c r="E23" s="11" t="s">
        <v>97</v>
      </c>
      <c r="F23" s="10" t="s">
        <v>36</v>
      </c>
      <c r="G23" s="10" t="n">
        <v>1</v>
      </c>
      <c r="H23" s="10" t="str">
        <f aca="false">IF(G23/INDEX(Artigos!$G$2:$G$12,MATCH(B23,Artigos!$A$2:$A$12,0))&lt;=1/3,"início",IF(G23/INDEX(Artigos!$G$2:$G$12,MATCH(B23,Artigos!$A$2:$A$12,0))&lt;=2/3,"meio","fim"))</f>
        <v>início</v>
      </c>
      <c r="I23" s="12"/>
      <c r="J23" s="13"/>
      <c r="K23" s="11"/>
    </row>
    <row r="24" customFormat="false" ht="60" hidden="false" customHeight="true" outlineLevel="0" collapsed="false">
      <c r="A24" s="10" t="s">
        <v>98</v>
      </c>
      <c r="B24" s="10" t="n">
        <v>3</v>
      </c>
      <c r="C24" s="11" t="s">
        <v>94</v>
      </c>
      <c r="D24" s="11" t="s">
        <v>99</v>
      </c>
      <c r="E24" s="11" t="s">
        <v>100</v>
      </c>
      <c r="F24" s="10" t="s">
        <v>101</v>
      </c>
      <c r="G24" s="10" t="n">
        <v>2</v>
      </c>
      <c r="H24" s="10" t="str">
        <f aca="false">IF(G24/INDEX(Artigos!$G$2:$G$12,MATCH(B24,Artigos!$A$2:$A$12,0))&lt;=1/3,"início",IF(G24/INDEX(Artigos!$G$2:$G$12,MATCH(B24,Artigos!$A$2:$A$12,0))&lt;=2/3,"meio","fim"))</f>
        <v>início</v>
      </c>
      <c r="I24" s="12"/>
      <c r="J24" s="13"/>
      <c r="K24" s="11"/>
    </row>
    <row r="25" customFormat="false" ht="30" hidden="false" customHeight="true" outlineLevel="0" collapsed="false">
      <c r="A25" s="10" t="s">
        <v>102</v>
      </c>
      <c r="B25" s="10" t="n">
        <v>3</v>
      </c>
      <c r="C25" s="11" t="s">
        <v>94</v>
      </c>
      <c r="D25" s="11" t="s">
        <v>103</v>
      </c>
      <c r="E25" s="11" t="s">
        <v>104</v>
      </c>
      <c r="F25" s="10" t="s">
        <v>101</v>
      </c>
      <c r="G25" s="10" t="n">
        <v>2</v>
      </c>
      <c r="H25" s="10" t="str">
        <f aca="false">IF(G25/INDEX(Artigos!$G$2:$G$12,MATCH(B25,Artigos!$A$2:$A$12,0))&lt;=1/3,"início",IF(G25/INDEX(Artigos!$G$2:$G$12,MATCH(B25,Artigos!$A$2:$A$12,0))&lt;=2/3,"meio","fim"))</f>
        <v>início</v>
      </c>
      <c r="I25" s="12"/>
      <c r="J25" s="13"/>
      <c r="K25" s="11"/>
    </row>
    <row r="26" customFormat="false" ht="45" hidden="false" customHeight="true" outlineLevel="0" collapsed="false">
      <c r="A26" s="10" t="s">
        <v>105</v>
      </c>
      <c r="B26" s="10" t="n">
        <v>3</v>
      </c>
      <c r="C26" s="11" t="s">
        <v>94</v>
      </c>
      <c r="D26" s="11" t="s">
        <v>106</v>
      </c>
      <c r="E26" s="11" t="s">
        <v>107</v>
      </c>
      <c r="F26" s="10" t="s">
        <v>108</v>
      </c>
      <c r="G26" s="10" t="n">
        <v>3</v>
      </c>
      <c r="H26" s="10" t="str">
        <f aca="false">IF(G26/INDEX(Artigos!$G$2:$G$12,MATCH(B26,Artigos!$A$2:$A$12,0))&lt;=1/3,"início",IF(G26/INDEX(Artigos!$G$2:$G$12,MATCH(B26,Artigos!$A$2:$A$12,0))&lt;=2/3,"meio","fim"))</f>
        <v>início</v>
      </c>
      <c r="I26" s="12"/>
      <c r="J26" s="13"/>
      <c r="K26" s="11"/>
    </row>
    <row r="27" customFormat="false" ht="30" hidden="false" customHeight="true" outlineLevel="0" collapsed="false">
      <c r="A27" s="10" t="s">
        <v>109</v>
      </c>
      <c r="B27" s="10" t="n">
        <v>3</v>
      </c>
      <c r="C27" s="11" t="s">
        <v>94</v>
      </c>
      <c r="D27" s="11" t="s">
        <v>110</v>
      </c>
      <c r="E27" s="11" t="s">
        <v>111</v>
      </c>
      <c r="F27" s="10" t="s">
        <v>108</v>
      </c>
      <c r="G27" s="10" t="n">
        <v>3</v>
      </c>
      <c r="H27" s="10" t="str">
        <f aca="false">IF(G27/INDEX(Artigos!$G$2:$G$12,MATCH(B27,Artigos!$A$2:$A$12,0))&lt;=1/3,"início",IF(G27/INDEX(Artigos!$G$2:$G$12,MATCH(B27,Artigos!$A$2:$A$12,0))&lt;=2/3,"meio","fim"))</f>
        <v>início</v>
      </c>
      <c r="I27" s="12"/>
      <c r="J27" s="13"/>
      <c r="K27" s="11"/>
    </row>
    <row r="28" customFormat="false" ht="45" hidden="false" customHeight="true" outlineLevel="0" collapsed="false">
      <c r="A28" s="10" t="s">
        <v>112</v>
      </c>
      <c r="B28" s="10" t="n">
        <v>3</v>
      </c>
      <c r="C28" s="11" t="s">
        <v>94</v>
      </c>
      <c r="D28" s="11" t="s">
        <v>103</v>
      </c>
      <c r="E28" s="11" t="s">
        <v>113</v>
      </c>
      <c r="F28" s="10" t="s">
        <v>76</v>
      </c>
      <c r="G28" s="10" t="n">
        <v>4</v>
      </c>
      <c r="H28" s="10" t="str">
        <f aca="false">IF(G28/INDEX(Artigos!$G$2:$G$12,MATCH(B28,Artigos!$A$2:$A$12,0))&lt;=1/3,"início",IF(G28/INDEX(Artigos!$G$2:$G$12,MATCH(B28,Artigos!$A$2:$A$12,0))&lt;=2/3,"meio","fim"))</f>
        <v>meio</v>
      </c>
      <c r="I28" s="12"/>
      <c r="J28" s="13"/>
      <c r="K28" s="11" t="s">
        <v>114</v>
      </c>
    </row>
    <row r="29" customFormat="false" ht="30" hidden="false" customHeight="true" outlineLevel="0" collapsed="false">
      <c r="A29" s="10" t="s">
        <v>115</v>
      </c>
      <c r="B29" s="10" t="n">
        <v>3</v>
      </c>
      <c r="C29" s="11" t="s">
        <v>94</v>
      </c>
      <c r="D29" s="11" t="s">
        <v>106</v>
      </c>
      <c r="E29" s="11" t="s">
        <v>116</v>
      </c>
      <c r="F29" s="10" t="s">
        <v>43</v>
      </c>
      <c r="G29" s="10" t="n">
        <v>5</v>
      </c>
      <c r="H29" s="10" t="str">
        <f aca="false">IF(G29/INDEX(Artigos!$G$2:$G$12,MATCH(B29,Artigos!$A$2:$A$12,0))&lt;=1/3,"início",IF(G29/INDEX(Artigos!$G$2:$G$12,MATCH(B29,Artigos!$A$2:$A$12,0))&lt;=2/3,"meio","fim"))</f>
        <v>meio</v>
      </c>
      <c r="I29" s="12"/>
      <c r="J29" s="13"/>
      <c r="K29" s="11"/>
    </row>
    <row r="30" customFormat="false" ht="30" hidden="false" customHeight="true" outlineLevel="0" collapsed="false">
      <c r="A30" s="10" t="s">
        <v>117</v>
      </c>
      <c r="B30" s="10" t="n">
        <v>3</v>
      </c>
      <c r="C30" s="11" t="s">
        <v>94</v>
      </c>
      <c r="D30" s="11" t="s">
        <v>47</v>
      </c>
      <c r="E30" s="11" t="s">
        <v>118</v>
      </c>
      <c r="F30" s="10" t="s">
        <v>49</v>
      </c>
      <c r="G30" s="10" t="n">
        <v>6</v>
      </c>
      <c r="H30" s="10" t="str">
        <f aca="false">IF(G30/INDEX(Artigos!$G$2:$G$12,MATCH(B30,Artigos!$A$2:$A$12,0))&lt;=1/3,"início",IF(G30/INDEX(Artigos!$G$2:$G$12,MATCH(B30,Artigos!$A$2:$A$12,0))&lt;=2/3,"meio","fim"))</f>
        <v>meio</v>
      </c>
      <c r="I30" s="12"/>
      <c r="J30" s="13"/>
      <c r="K30" s="11"/>
    </row>
    <row r="31" customFormat="false" ht="30" hidden="false" customHeight="true" outlineLevel="0" collapsed="false">
      <c r="A31" s="10" t="s">
        <v>119</v>
      </c>
      <c r="B31" s="10" t="n">
        <v>3</v>
      </c>
      <c r="C31" s="11" t="s">
        <v>94</v>
      </c>
      <c r="D31" s="11" t="s">
        <v>64</v>
      </c>
      <c r="E31" s="11" t="s">
        <v>120</v>
      </c>
      <c r="F31" s="10" t="s">
        <v>121</v>
      </c>
      <c r="G31" s="10" t="n">
        <v>10</v>
      </c>
      <c r="H31" s="10" t="str">
        <f aca="false">IF(G31/INDEX(Artigos!$G$2:$G$12,MATCH(B31,Artigos!$A$2:$A$12,0))&lt;=1/3,"início",IF(G31/INDEX(Artigos!$G$2:$G$12,MATCH(B31,Artigos!$A$2:$A$12,0))&lt;=2/3,"meio","fim"))</f>
        <v>fim</v>
      </c>
      <c r="I31" s="12"/>
      <c r="J31" s="13"/>
      <c r="K31" s="11"/>
    </row>
    <row r="32" customFormat="false" ht="45" hidden="false" customHeight="true" outlineLevel="0" collapsed="false">
      <c r="A32" s="14" t="s">
        <v>122</v>
      </c>
      <c r="B32" s="14" t="n">
        <v>4</v>
      </c>
      <c r="C32" s="15" t="s">
        <v>123</v>
      </c>
      <c r="D32" s="15" t="s">
        <v>34</v>
      </c>
      <c r="E32" s="15" t="s">
        <v>124</v>
      </c>
      <c r="F32" s="14" t="s">
        <v>36</v>
      </c>
      <c r="G32" s="14" t="n">
        <v>1</v>
      </c>
      <c r="H32" s="14" t="str">
        <f aca="false">IF(G32/INDEX(Artigos!$G$2:$G$12,MATCH(B32,Artigos!$A$2:$A$12,0))&lt;=1/3,"início",IF(G32/INDEX(Artigos!$G$2:$G$12,MATCH(B32,Artigos!$A$2:$A$12,0))&lt;=2/3,"meio","fim"))</f>
        <v>início</v>
      </c>
      <c r="I32" s="12"/>
      <c r="J32" s="13"/>
      <c r="K32" s="15"/>
    </row>
    <row r="33" customFormat="false" ht="30" hidden="false" customHeight="true" outlineLevel="0" collapsed="false">
      <c r="A33" s="14" t="s">
        <v>125</v>
      </c>
      <c r="B33" s="14" t="n">
        <v>4</v>
      </c>
      <c r="C33" s="15" t="s">
        <v>123</v>
      </c>
      <c r="D33" s="15" t="s">
        <v>99</v>
      </c>
      <c r="E33" s="15" t="s">
        <v>126</v>
      </c>
      <c r="F33" s="14" t="s">
        <v>36</v>
      </c>
      <c r="G33" s="14" t="n">
        <v>1</v>
      </c>
      <c r="H33" s="14" t="str">
        <f aca="false">IF(G33/INDEX(Artigos!$G$2:$G$12,MATCH(B33,Artigos!$A$2:$A$12,0))&lt;=1/3,"início",IF(G33/INDEX(Artigos!$G$2:$G$12,MATCH(B33,Artigos!$A$2:$A$12,0))&lt;=2/3,"meio","fim"))</f>
        <v>início</v>
      </c>
      <c r="I33" s="12"/>
      <c r="J33" s="13"/>
      <c r="K33" s="15"/>
    </row>
    <row r="34" customFormat="false" ht="30" hidden="false" customHeight="true" outlineLevel="0" collapsed="false">
      <c r="A34" s="14" t="s">
        <v>127</v>
      </c>
      <c r="B34" s="14" t="n">
        <v>4</v>
      </c>
      <c r="C34" s="15" t="s">
        <v>123</v>
      </c>
      <c r="D34" s="15" t="s">
        <v>39</v>
      </c>
      <c r="E34" s="15" t="s">
        <v>128</v>
      </c>
      <c r="F34" s="14" t="s">
        <v>101</v>
      </c>
      <c r="G34" s="14" t="n">
        <v>2</v>
      </c>
      <c r="H34" s="14" t="str">
        <f aca="false">IF(G34/INDEX(Artigos!$G$2:$G$12,MATCH(B34,Artigos!$A$2:$A$12,0))&lt;=1/3,"início",IF(G34/INDEX(Artigos!$G$2:$G$12,MATCH(B34,Artigos!$A$2:$A$12,0))&lt;=2/3,"meio","fim"))</f>
        <v>início</v>
      </c>
      <c r="I34" s="12"/>
      <c r="J34" s="13"/>
      <c r="K34" s="15"/>
    </row>
    <row r="35" customFormat="false" ht="30" hidden="false" customHeight="true" outlineLevel="0" collapsed="false">
      <c r="A35" s="14" t="s">
        <v>129</v>
      </c>
      <c r="B35" s="14" t="n">
        <v>4</v>
      </c>
      <c r="C35" s="15" t="s">
        <v>123</v>
      </c>
      <c r="D35" s="15" t="s">
        <v>99</v>
      </c>
      <c r="E35" s="15" t="s">
        <v>130</v>
      </c>
      <c r="F35" s="14" t="s">
        <v>43</v>
      </c>
      <c r="G35" s="14" t="n">
        <v>5</v>
      </c>
      <c r="H35" s="14" t="str">
        <f aca="false">IF(G35/INDEX(Artigos!$G$2:$G$12,MATCH(B35,Artigos!$A$2:$A$12,0))&lt;=1/3,"início",IF(G35/INDEX(Artigos!$G$2:$G$12,MATCH(B35,Artigos!$A$2:$A$12,0))&lt;=2/3,"meio","fim"))</f>
        <v>início</v>
      </c>
      <c r="I35" s="12"/>
      <c r="J35" s="13"/>
      <c r="K35" s="15"/>
    </row>
    <row r="36" customFormat="false" ht="30" hidden="false" customHeight="true" outlineLevel="0" collapsed="false">
      <c r="A36" s="14" t="s">
        <v>131</v>
      </c>
      <c r="B36" s="14" t="n">
        <v>4</v>
      </c>
      <c r="C36" s="15" t="s">
        <v>123</v>
      </c>
      <c r="D36" s="15" t="s">
        <v>99</v>
      </c>
      <c r="E36" s="15" t="s">
        <v>132</v>
      </c>
      <c r="F36" s="14" t="s">
        <v>49</v>
      </c>
      <c r="G36" s="14" t="n">
        <v>6</v>
      </c>
      <c r="H36" s="14" t="str">
        <f aca="false">IF(G36/INDEX(Artigos!$G$2:$G$12,MATCH(B36,Artigos!$A$2:$A$12,0))&lt;=1/3,"início",IF(G36/INDEX(Artigos!$G$2:$G$12,MATCH(B36,Artigos!$A$2:$A$12,0))&lt;=2/3,"meio","fim"))</f>
        <v>início</v>
      </c>
      <c r="I36" s="12"/>
      <c r="J36" s="13"/>
      <c r="K36" s="15"/>
    </row>
    <row r="37" customFormat="false" ht="30" hidden="false" customHeight="true" outlineLevel="0" collapsed="false">
      <c r="A37" s="14" t="s">
        <v>133</v>
      </c>
      <c r="B37" s="14" t="n">
        <v>4</v>
      </c>
      <c r="C37" s="15" t="s">
        <v>123</v>
      </c>
      <c r="D37" s="15" t="s">
        <v>99</v>
      </c>
      <c r="E37" s="15" t="s">
        <v>134</v>
      </c>
      <c r="F37" s="14" t="s">
        <v>52</v>
      </c>
      <c r="G37" s="14" t="n">
        <v>7</v>
      </c>
      <c r="H37" s="14" t="str">
        <f aca="false">IF(G37/INDEX(Artigos!$G$2:$G$12,MATCH(B37,Artigos!$A$2:$A$12,0))&lt;=1/3,"início",IF(G37/INDEX(Artigos!$G$2:$G$12,MATCH(B37,Artigos!$A$2:$A$12,0))&lt;=2/3,"meio","fim"))</f>
        <v>meio</v>
      </c>
      <c r="I37" s="12"/>
      <c r="J37" s="13"/>
      <c r="K37" s="15"/>
    </row>
    <row r="38" customFormat="false" ht="30" hidden="false" customHeight="true" outlineLevel="0" collapsed="false">
      <c r="A38" s="14" t="s">
        <v>135</v>
      </c>
      <c r="B38" s="14" t="n">
        <v>4</v>
      </c>
      <c r="C38" s="15" t="s">
        <v>123</v>
      </c>
      <c r="D38" s="15" t="s">
        <v>47</v>
      </c>
      <c r="E38" s="15" t="s">
        <v>136</v>
      </c>
      <c r="F38" s="14" t="s">
        <v>137</v>
      </c>
      <c r="G38" s="14" t="n">
        <v>14</v>
      </c>
      <c r="H38" s="14" t="str">
        <f aca="false">IF(G38/INDEX(Artigos!$G$2:$G$12,MATCH(B38,Artigos!$A$2:$A$12,0))&lt;=1/3,"início",IF(G38/INDEX(Artigos!$G$2:$G$12,MATCH(B38,Artigos!$A$2:$A$12,0))&lt;=2/3,"meio","fim"))</f>
        <v>fim</v>
      </c>
      <c r="I38" s="12"/>
      <c r="J38" s="13"/>
      <c r="K38" s="15"/>
    </row>
    <row r="39" customFormat="false" ht="30" hidden="false" customHeight="true" outlineLevel="0" collapsed="false">
      <c r="A39" s="14" t="s">
        <v>138</v>
      </c>
      <c r="B39" s="14" t="n">
        <v>4</v>
      </c>
      <c r="C39" s="15" t="s">
        <v>123</v>
      </c>
      <c r="D39" s="15" t="s">
        <v>47</v>
      </c>
      <c r="E39" s="15" t="s">
        <v>139</v>
      </c>
      <c r="F39" s="14" t="s">
        <v>140</v>
      </c>
      <c r="G39" s="14" t="n">
        <v>14</v>
      </c>
      <c r="H39" s="14" t="str">
        <f aca="false">IF(G39/INDEX(Artigos!$G$2:$G$12,MATCH(B39,Artigos!$A$2:$A$12,0))&lt;=1/3,"início",IF(G39/INDEX(Artigos!$G$2:$G$12,MATCH(B39,Artigos!$A$2:$A$12,0))&lt;=2/3,"meio","fim"))</f>
        <v>fim</v>
      </c>
      <c r="I39" s="12"/>
      <c r="J39" s="13"/>
      <c r="K39" s="15" t="s">
        <v>141</v>
      </c>
    </row>
    <row r="40" customFormat="false" ht="15" hidden="false" customHeight="true" outlineLevel="0" collapsed="false">
      <c r="A40" s="14" t="s">
        <v>142</v>
      </c>
      <c r="B40" s="14" t="n">
        <v>4</v>
      </c>
      <c r="C40" s="15" t="s">
        <v>123</v>
      </c>
      <c r="D40" s="15" t="s">
        <v>47</v>
      </c>
      <c r="E40" s="15" t="s">
        <v>143</v>
      </c>
      <c r="F40" s="14" t="s">
        <v>144</v>
      </c>
      <c r="G40" s="14" t="n">
        <v>17</v>
      </c>
      <c r="H40" s="14" t="str">
        <f aca="false">IF(G40/INDEX(Artigos!$G$2:$G$12,MATCH(B40,Artigos!$A$2:$A$12,0))&lt;=1/3,"início",IF(G40/INDEX(Artigos!$G$2:$G$12,MATCH(B40,Artigos!$A$2:$A$12,0))&lt;=2/3,"meio","fim"))</f>
        <v>fim</v>
      </c>
      <c r="I40" s="12"/>
      <c r="J40" s="13"/>
      <c r="K40" s="15"/>
    </row>
    <row r="41" customFormat="false" ht="45" hidden="false" customHeight="true" outlineLevel="0" collapsed="false">
      <c r="A41" s="14" t="s">
        <v>145</v>
      </c>
      <c r="B41" s="14" t="n">
        <v>4</v>
      </c>
      <c r="C41" s="15" t="s">
        <v>123</v>
      </c>
      <c r="D41" s="15" t="s">
        <v>64</v>
      </c>
      <c r="E41" s="15" t="s">
        <v>146</v>
      </c>
      <c r="F41" s="14" t="s">
        <v>144</v>
      </c>
      <c r="G41" s="14" t="n">
        <v>17</v>
      </c>
      <c r="H41" s="14" t="str">
        <f aca="false">IF(G41/INDEX(Artigos!$G$2:$G$12,MATCH(B41,Artigos!$A$2:$A$12,0))&lt;=1/3,"início",IF(G41/INDEX(Artigos!$G$2:$G$12,MATCH(B41,Artigos!$A$2:$A$12,0))&lt;=2/3,"meio","fim"))</f>
        <v>fim</v>
      </c>
      <c r="I41" s="12"/>
      <c r="J41" s="13"/>
      <c r="K41" s="15"/>
    </row>
    <row r="42" customFormat="false" ht="45" hidden="false" customHeight="true" outlineLevel="0" collapsed="false">
      <c r="A42" s="10" t="s">
        <v>147</v>
      </c>
      <c r="B42" s="10" t="n">
        <v>5</v>
      </c>
      <c r="C42" s="11" t="s">
        <v>148</v>
      </c>
      <c r="D42" s="11" t="s">
        <v>34</v>
      </c>
      <c r="E42" s="11" t="s">
        <v>149</v>
      </c>
      <c r="F42" s="10" t="s">
        <v>36</v>
      </c>
      <c r="G42" s="10" t="n">
        <v>1</v>
      </c>
      <c r="H42" s="10" t="str">
        <f aca="false">IF(G42/INDEX(Artigos!$G$2:$G$12,MATCH(B42,Artigos!$A$2:$A$12,0))&lt;=1/3,"início",IF(G42/INDEX(Artigos!$G$2:$G$12,MATCH(B42,Artigos!$A$2:$A$12,0))&lt;=2/3,"meio","fim"))</f>
        <v>início</v>
      </c>
      <c r="I42" s="12"/>
      <c r="J42" s="13"/>
      <c r="K42" s="11"/>
    </row>
    <row r="43" customFormat="false" ht="30" hidden="false" customHeight="true" outlineLevel="0" collapsed="false">
      <c r="A43" s="10" t="s">
        <v>150</v>
      </c>
      <c r="B43" s="10" t="n">
        <v>5</v>
      </c>
      <c r="C43" s="11" t="s">
        <v>148</v>
      </c>
      <c r="D43" s="11" t="s">
        <v>99</v>
      </c>
      <c r="E43" s="11" t="s">
        <v>151</v>
      </c>
      <c r="F43" s="10" t="s">
        <v>101</v>
      </c>
      <c r="G43" s="10" t="n">
        <v>2</v>
      </c>
      <c r="H43" s="10" t="str">
        <f aca="false">IF(G43/INDEX(Artigos!$G$2:$G$12,MATCH(B43,Artigos!$A$2:$A$12,0))&lt;=1/3,"início",IF(G43/INDEX(Artigos!$G$2:$G$12,MATCH(B43,Artigos!$A$2:$A$12,0))&lt;=2/3,"meio","fim"))</f>
        <v>início</v>
      </c>
      <c r="I43" s="12"/>
      <c r="J43" s="13"/>
      <c r="K43" s="11"/>
    </row>
    <row r="44" customFormat="false" ht="45" hidden="false" customHeight="true" outlineLevel="0" collapsed="false">
      <c r="A44" s="10" t="s">
        <v>152</v>
      </c>
      <c r="B44" s="10" t="n">
        <v>5</v>
      </c>
      <c r="C44" s="11" t="s">
        <v>148</v>
      </c>
      <c r="D44" s="11" t="s">
        <v>34</v>
      </c>
      <c r="E44" s="11" t="s">
        <v>153</v>
      </c>
      <c r="F44" s="10" t="s">
        <v>108</v>
      </c>
      <c r="G44" s="10" t="n">
        <v>3</v>
      </c>
      <c r="H44" s="10" t="str">
        <f aca="false">IF(G44/INDEX(Artigos!$G$2:$G$12,MATCH(B44,Artigos!$A$2:$A$12,0))&lt;=1/3,"início",IF(G44/INDEX(Artigos!$G$2:$G$12,MATCH(B44,Artigos!$A$2:$A$12,0))&lt;=2/3,"meio","fim"))</f>
        <v>início</v>
      </c>
      <c r="I44" s="12"/>
      <c r="J44" s="13"/>
      <c r="K44" s="11"/>
    </row>
    <row r="45" customFormat="false" ht="30" hidden="false" customHeight="true" outlineLevel="0" collapsed="false">
      <c r="A45" s="10" t="s">
        <v>154</v>
      </c>
      <c r="B45" s="10" t="n">
        <v>5</v>
      </c>
      <c r="C45" s="11" t="s">
        <v>148</v>
      </c>
      <c r="D45" s="11" t="s">
        <v>103</v>
      </c>
      <c r="E45" s="11" t="s">
        <v>155</v>
      </c>
      <c r="F45" s="10" t="s">
        <v>76</v>
      </c>
      <c r="G45" s="10" t="n">
        <v>4</v>
      </c>
      <c r="H45" s="10" t="str">
        <f aca="false">IF(G45/INDEX(Artigos!$G$2:$G$12,MATCH(B45,Artigos!$A$2:$A$12,0))&lt;=1/3,"início",IF(G45/INDEX(Artigos!$G$2:$G$12,MATCH(B45,Artigos!$A$2:$A$12,0))&lt;=2/3,"meio","fim"))</f>
        <v>início</v>
      </c>
      <c r="I45" s="12"/>
      <c r="J45" s="13"/>
      <c r="K45" s="11"/>
    </row>
    <row r="46" customFormat="false" ht="30" hidden="false" customHeight="true" outlineLevel="0" collapsed="false">
      <c r="A46" s="10" t="s">
        <v>156</v>
      </c>
      <c r="B46" s="10" t="n">
        <v>5</v>
      </c>
      <c r="C46" s="11" t="s">
        <v>148</v>
      </c>
      <c r="D46" s="11" t="s">
        <v>39</v>
      </c>
      <c r="E46" s="11" t="s">
        <v>157</v>
      </c>
      <c r="F46" s="10" t="s">
        <v>137</v>
      </c>
      <c r="G46" s="10" t="n">
        <v>14</v>
      </c>
      <c r="H46" s="10" t="str">
        <f aca="false">IF(G46/INDEX(Artigos!$G$2:$G$12,MATCH(B46,Artigos!$A$2:$A$12,0))&lt;=1/3,"início",IF(G46/INDEX(Artigos!$G$2:$G$12,MATCH(B46,Artigos!$A$2:$A$12,0))&lt;=2/3,"meio","fim"))</f>
        <v>início</v>
      </c>
      <c r="I46" s="12"/>
      <c r="J46" s="13"/>
      <c r="K46" s="11"/>
    </row>
    <row r="47" customFormat="false" ht="45" hidden="false" customHeight="true" outlineLevel="0" collapsed="false">
      <c r="A47" s="10" t="s">
        <v>158</v>
      </c>
      <c r="B47" s="10" t="n">
        <v>5</v>
      </c>
      <c r="C47" s="11" t="s">
        <v>148</v>
      </c>
      <c r="D47" s="11" t="s">
        <v>39</v>
      </c>
      <c r="E47" s="11" t="s">
        <v>159</v>
      </c>
      <c r="F47" s="10" t="s">
        <v>160</v>
      </c>
      <c r="G47" s="10" t="n">
        <v>22</v>
      </c>
      <c r="H47" s="10" t="str">
        <f aca="false">IF(G47/INDEX(Artigos!$G$2:$G$12,MATCH(B47,Artigos!$A$2:$A$12,0))&lt;=1/3,"início",IF(G47/INDEX(Artigos!$G$2:$G$12,MATCH(B47,Artigos!$A$2:$A$12,0))&lt;=2/3,"meio","fim"))</f>
        <v>meio</v>
      </c>
      <c r="I47" s="12"/>
      <c r="J47" s="13"/>
      <c r="K47" s="11" t="s">
        <v>161</v>
      </c>
    </row>
    <row r="48" customFormat="false" ht="45" hidden="false" customHeight="true" outlineLevel="0" collapsed="false">
      <c r="A48" s="10" t="s">
        <v>162</v>
      </c>
      <c r="B48" s="10" t="n">
        <v>5</v>
      </c>
      <c r="C48" s="11" t="s">
        <v>148</v>
      </c>
      <c r="D48" s="11" t="s">
        <v>47</v>
      </c>
      <c r="E48" s="11" t="s">
        <v>163</v>
      </c>
      <c r="F48" s="10" t="s">
        <v>164</v>
      </c>
      <c r="G48" s="10" t="n">
        <v>27</v>
      </c>
      <c r="H48" s="10" t="str">
        <f aca="false">IF(G48/INDEX(Artigos!$G$2:$G$12,MATCH(B48,Artigos!$A$2:$A$12,0))&lt;=1/3,"início",IF(G48/INDEX(Artigos!$G$2:$G$12,MATCH(B48,Artigos!$A$2:$A$12,0))&lt;=2/3,"meio","fim"))</f>
        <v>meio</v>
      </c>
      <c r="I48" s="12"/>
      <c r="J48" s="13"/>
      <c r="K48" s="11" t="s">
        <v>161</v>
      </c>
    </row>
    <row r="49" customFormat="false" ht="30" hidden="false" customHeight="true" outlineLevel="0" collapsed="false">
      <c r="A49" s="10" t="s">
        <v>165</v>
      </c>
      <c r="B49" s="10" t="n">
        <v>5</v>
      </c>
      <c r="C49" s="11" t="s">
        <v>148</v>
      </c>
      <c r="D49" s="11" t="s">
        <v>47</v>
      </c>
      <c r="E49" s="11" t="s">
        <v>166</v>
      </c>
      <c r="F49" s="10" t="s">
        <v>167</v>
      </c>
      <c r="G49" s="10" t="n">
        <v>30</v>
      </c>
      <c r="H49" s="10" t="str">
        <f aca="false">IF(G49/INDEX(Artigos!$G$2:$G$12,MATCH(B49,Artigos!$A$2:$A$12,0))&lt;=1/3,"início",IF(G49/INDEX(Artigos!$G$2:$G$12,MATCH(B49,Artigos!$A$2:$A$12,0))&lt;=2/3,"meio","fim"))</f>
        <v>fim</v>
      </c>
      <c r="I49" s="12"/>
      <c r="J49" s="13"/>
      <c r="K49" s="11"/>
    </row>
    <row r="50" customFormat="false" ht="30" hidden="false" customHeight="true" outlineLevel="0" collapsed="false">
      <c r="A50" s="10" t="s">
        <v>168</v>
      </c>
      <c r="B50" s="10" t="n">
        <v>5</v>
      </c>
      <c r="C50" s="11" t="s">
        <v>148</v>
      </c>
      <c r="D50" s="11" t="s">
        <v>169</v>
      </c>
      <c r="E50" s="11" t="s">
        <v>170</v>
      </c>
      <c r="F50" s="10" t="s">
        <v>171</v>
      </c>
      <c r="G50" s="10" t="n">
        <v>36</v>
      </c>
      <c r="H50" s="10" t="str">
        <f aca="false">IF(G50/INDEX(Artigos!$G$2:$G$12,MATCH(B50,Artigos!$A$2:$A$12,0))&lt;=1/3,"início",IF(G50/INDEX(Artigos!$G$2:$G$12,MATCH(B50,Artigos!$A$2:$A$12,0))&lt;=2/3,"meio","fim"))</f>
        <v>fim</v>
      </c>
      <c r="I50" s="12"/>
      <c r="J50" s="13"/>
      <c r="K50" s="11"/>
    </row>
    <row r="51" customFormat="false" ht="30" hidden="false" customHeight="true" outlineLevel="0" collapsed="false">
      <c r="A51" s="10" t="s">
        <v>172</v>
      </c>
      <c r="B51" s="10" t="n">
        <v>5</v>
      </c>
      <c r="C51" s="11" t="s">
        <v>148</v>
      </c>
      <c r="D51" s="11" t="s">
        <v>64</v>
      </c>
      <c r="E51" s="11" t="s">
        <v>173</v>
      </c>
      <c r="F51" s="10" t="s">
        <v>174</v>
      </c>
      <c r="G51" s="10" t="n">
        <v>39</v>
      </c>
      <c r="H51" s="10" t="str">
        <f aca="false">IF(G51/INDEX(Artigos!$G$2:$G$12,MATCH(B51,Artigos!$A$2:$A$12,0))&lt;=1/3,"início",IF(G51/INDEX(Artigos!$G$2:$G$12,MATCH(B51,Artigos!$A$2:$A$12,0))&lt;=2/3,"meio","fim"))</f>
        <v>fim</v>
      </c>
      <c r="I51" s="12"/>
      <c r="J51" s="13"/>
      <c r="K51" s="11"/>
    </row>
    <row r="52" customFormat="false" ht="45" hidden="false" customHeight="true" outlineLevel="0" collapsed="false">
      <c r="A52" s="14" t="s">
        <v>175</v>
      </c>
      <c r="B52" s="14" t="n">
        <v>6</v>
      </c>
      <c r="C52" s="15" t="s">
        <v>176</v>
      </c>
      <c r="D52" s="15" t="s">
        <v>34</v>
      </c>
      <c r="E52" s="15" t="s">
        <v>177</v>
      </c>
      <c r="F52" s="14" t="s">
        <v>36</v>
      </c>
      <c r="G52" s="14" t="n">
        <v>1</v>
      </c>
      <c r="H52" s="14" t="str">
        <f aca="false">IF(G52/INDEX(Artigos!$G$2:$G$12,MATCH(B52,Artigos!$A$2:$A$12,0))&lt;=1/3,"início",IF(G52/INDEX(Artigos!$G$2:$G$12,MATCH(B52,Artigos!$A$2:$A$12,0))&lt;=2/3,"meio","fim"))</f>
        <v>meio</v>
      </c>
      <c r="I52" s="12"/>
      <c r="J52" s="13"/>
      <c r="K52" s="15"/>
    </row>
    <row r="53" customFormat="false" ht="30" hidden="false" customHeight="true" outlineLevel="0" collapsed="false">
      <c r="A53" s="14" t="s">
        <v>178</v>
      </c>
      <c r="B53" s="14" t="n">
        <v>6</v>
      </c>
      <c r="C53" s="15" t="s">
        <v>176</v>
      </c>
      <c r="D53" s="15" t="s">
        <v>39</v>
      </c>
      <c r="E53" s="15" t="s">
        <v>179</v>
      </c>
      <c r="F53" s="14" t="s">
        <v>36</v>
      </c>
      <c r="G53" s="14" t="n">
        <v>1</v>
      </c>
      <c r="H53" s="14" t="str">
        <f aca="false">IF(G53/INDEX(Artigos!$G$2:$G$12,MATCH(B53,Artigos!$A$2:$A$12,0))&lt;=1/3,"início",IF(G53/INDEX(Artigos!$G$2:$G$12,MATCH(B53,Artigos!$A$2:$A$12,0))&lt;=2/3,"meio","fim"))</f>
        <v>meio</v>
      </c>
      <c r="I53" s="12"/>
      <c r="J53" s="13"/>
      <c r="K53" s="15"/>
    </row>
    <row r="54" customFormat="false" ht="30" hidden="false" customHeight="true" outlineLevel="0" collapsed="false">
      <c r="A54" s="14" t="s">
        <v>180</v>
      </c>
      <c r="B54" s="14" t="n">
        <v>6</v>
      </c>
      <c r="C54" s="15" t="s">
        <v>176</v>
      </c>
      <c r="D54" s="15" t="s">
        <v>39</v>
      </c>
      <c r="E54" s="15" t="s">
        <v>181</v>
      </c>
      <c r="F54" s="14" t="s">
        <v>36</v>
      </c>
      <c r="G54" s="14" t="n">
        <v>1</v>
      </c>
      <c r="H54" s="14" t="str">
        <f aca="false">IF(G54/INDEX(Artigos!$G$2:$G$12,MATCH(B54,Artigos!$A$2:$A$12,0))&lt;=1/3,"início",IF(G54/INDEX(Artigos!$G$2:$G$12,MATCH(B54,Artigos!$A$2:$A$12,0))&lt;=2/3,"meio","fim"))</f>
        <v>meio</v>
      </c>
      <c r="I54" s="12"/>
      <c r="J54" s="13"/>
      <c r="K54" s="15"/>
    </row>
    <row r="55" customFormat="false" ht="30" hidden="false" customHeight="true" outlineLevel="0" collapsed="false">
      <c r="A55" s="14" t="s">
        <v>182</v>
      </c>
      <c r="B55" s="14" t="n">
        <v>6</v>
      </c>
      <c r="C55" s="15" t="s">
        <v>176</v>
      </c>
      <c r="D55" s="15" t="s">
        <v>47</v>
      </c>
      <c r="E55" s="15" t="s">
        <v>183</v>
      </c>
      <c r="F55" s="14" t="s">
        <v>101</v>
      </c>
      <c r="G55" s="14" t="n">
        <v>2</v>
      </c>
      <c r="H55" s="14" t="str">
        <f aca="false">IF(G55/INDEX(Artigos!$G$2:$G$12,MATCH(B55,Artigos!$A$2:$A$12,0))&lt;=1/3,"início",IF(G55/INDEX(Artigos!$G$2:$G$12,MATCH(B55,Artigos!$A$2:$A$12,0))&lt;=2/3,"meio","fim"))</f>
        <v>fim</v>
      </c>
      <c r="I55" s="12"/>
      <c r="J55" s="13"/>
      <c r="K55" s="15" t="s">
        <v>184</v>
      </c>
    </row>
    <row r="56" customFormat="false" ht="30" hidden="false" customHeight="true" outlineLevel="0" collapsed="false">
      <c r="A56" s="14" t="s">
        <v>185</v>
      </c>
      <c r="B56" s="14" t="n">
        <v>6</v>
      </c>
      <c r="C56" s="15" t="s">
        <v>176</v>
      </c>
      <c r="D56" s="15" t="s">
        <v>186</v>
      </c>
      <c r="E56" s="15" t="s">
        <v>187</v>
      </c>
      <c r="F56" s="14" t="s">
        <v>101</v>
      </c>
      <c r="G56" s="14" t="n">
        <v>2</v>
      </c>
      <c r="H56" s="14" t="str">
        <f aca="false">IF(G56/INDEX(Artigos!$G$2:$G$12,MATCH(B56,Artigos!$A$2:$A$12,0))&lt;=1/3,"início",IF(G56/INDEX(Artigos!$G$2:$G$12,MATCH(B56,Artigos!$A$2:$A$12,0))&lt;=2/3,"meio","fim"))</f>
        <v>fim</v>
      </c>
      <c r="I56" s="12"/>
      <c r="J56" s="13"/>
      <c r="K56" s="15"/>
    </row>
    <row r="57" customFormat="false" ht="15" hidden="false" customHeight="true" outlineLevel="0" collapsed="false">
      <c r="A57" s="14" t="s">
        <v>188</v>
      </c>
      <c r="B57" s="14" t="n">
        <v>6</v>
      </c>
      <c r="C57" s="15" t="s">
        <v>176</v>
      </c>
      <c r="D57" s="15" t="s">
        <v>39</v>
      </c>
      <c r="E57" s="15" t="s">
        <v>189</v>
      </c>
      <c r="F57" s="14" t="s">
        <v>101</v>
      </c>
      <c r="G57" s="14" t="n">
        <v>2</v>
      </c>
      <c r="H57" s="14" t="str">
        <f aca="false">IF(G57/INDEX(Artigos!$G$2:$G$12,MATCH(B57,Artigos!$A$2:$A$12,0))&lt;=1/3,"início",IF(G57/INDEX(Artigos!$G$2:$G$12,MATCH(B57,Artigos!$A$2:$A$12,0))&lt;=2/3,"meio","fim"))</f>
        <v>fim</v>
      </c>
      <c r="I57" s="12"/>
      <c r="J57" s="13"/>
      <c r="K57" s="15"/>
    </row>
    <row r="58" customFormat="false" ht="45" hidden="false" customHeight="true" outlineLevel="0" collapsed="false">
      <c r="A58" s="10" t="s">
        <v>190</v>
      </c>
      <c r="B58" s="10" t="n">
        <v>7</v>
      </c>
      <c r="C58" s="11" t="s">
        <v>191</v>
      </c>
      <c r="D58" s="11" t="s">
        <v>34</v>
      </c>
      <c r="E58" s="11" t="s">
        <v>192</v>
      </c>
      <c r="F58" s="10" t="s">
        <v>36</v>
      </c>
      <c r="G58" s="10" t="n">
        <v>1</v>
      </c>
      <c r="H58" s="10" t="str">
        <f aca="false">IF(G58/INDEX(Artigos!$G$2:$G$12,MATCH(B58,Artigos!$A$2:$A$12,0))&lt;=1/3,"início",IF(G58/INDEX(Artigos!$G$2:$G$12,MATCH(B58,Artigos!$A$2:$A$12,0))&lt;=2/3,"meio","fim"))</f>
        <v>início</v>
      </c>
      <c r="I58" s="12"/>
      <c r="J58" s="13"/>
      <c r="K58" s="11"/>
    </row>
    <row r="59" customFormat="false" ht="45" hidden="false" customHeight="true" outlineLevel="0" collapsed="false">
      <c r="A59" s="10" t="s">
        <v>193</v>
      </c>
      <c r="B59" s="10" t="n">
        <v>7</v>
      </c>
      <c r="C59" s="11" t="s">
        <v>191</v>
      </c>
      <c r="D59" s="11" t="s">
        <v>99</v>
      </c>
      <c r="E59" s="11" t="s">
        <v>194</v>
      </c>
      <c r="F59" s="10" t="s">
        <v>101</v>
      </c>
      <c r="G59" s="10" t="n">
        <v>2</v>
      </c>
      <c r="H59" s="10" t="str">
        <f aca="false">IF(G59/INDEX(Artigos!$G$2:$G$12,MATCH(B59,Artigos!$A$2:$A$12,0))&lt;=1/3,"início",IF(G59/INDEX(Artigos!$G$2:$G$12,MATCH(B59,Artigos!$A$2:$A$12,0))&lt;=2/3,"meio","fim"))</f>
        <v>início</v>
      </c>
      <c r="I59" s="12"/>
      <c r="J59" s="13"/>
      <c r="K59" s="11"/>
    </row>
    <row r="60" customFormat="false" ht="15" hidden="false" customHeight="true" outlineLevel="0" collapsed="false">
      <c r="A60" s="10" t="s">
        <v>195</v>
      </c>
      <c r="B60" s="10" t="n">
        <v>7</v>
      </c>
      <c r="C60" s="11" t="s">
        <v>191</v>
      </c>
      <c r="D60" s="11" t="s">
        <v>39</v>
      </c>
      <c r="E60" s="11" t="s">
        <v>196</v>
      </c>
      <c r="F60" s="10" t="s">
        <v>108</v>
      </c>
      <c r="G60" s="10" t="n">
        <v>3</v>
      </c>
      <c r="H60" s="10" t="str">
        <f aca="false">IF(G60/INDEX(Artigos!$G$2:$G$12,MATCH(B60,Artigos!$A$2:$A$12,0))&lt;=1/3,"início",IF(G60/INDEX(Artigos!$G$2:$G$12,MATCH(B60,Artigos!$A$2:$A$12,0))&lt;=2/3,"meio","fim"))</f>
        <v>início</v>
      </c>
      <c r="I60" s="12"/>
      <c r="J60" s="13"/>
      <c r="K60" s="11"/>
    </row>
    <row r="61" customFormat="false" ht="30" hidden="false" customHeight="true" outlineLevel="0" collapsed="false">
      <c r="A61" s="10" t="s">
        <v>197</v>
      </c>
      <c r="B61" s="10" t="n">
        <v>7</v>
      </c>
      <c r="C61" s="11" t="s">
        <v>191</v>
      </c>
      <c r="D61" s="11" t="s">
        <v>39</v>
      </c>
      <c r="E61" s="11" t="s">
        <v>198</v>
      </c>
      <c r="F61" s="10" t="s">
        <v>52</v>
      </c>
      <c r="G61" s="10" t="n">
        <v>7</v>
      </c>
      <c r="H61" s="10" t="str">
        <f aca="false">IF(G61/INDEX(Artigos!$G$2:$G$12,MATCH(B61,Artigos!$A$2:$A$12,0))&lt;=1/3,"início",IF(G61/INDEX(Artigos!$G$2:$G$12,MATCH(B61,Artigos!$A$2:$A$12,0))&lt;=2/3,"meio","fim"))</f>
        <v>meio</v>
      </c>
      <c r="I61" s="12"/>
      <c r="J61" s="13"/>
      <c r="K61" s="11"/>
    </row>
    <row r="62" customFormat="false" ht="30" hidden="false" customHeight="true" outlineLevel="0" collapsed="false">
      <c r="A62" s="10" t="s">
        <v>199</v>
      </c>
      <c r="B62" s="10" t="n">
        <v>7</v>
      </c>
      <c r="C62" s="11" t="s">
        <v>191</v>
      </c>
      <c r="D62" s="11" t="s">
        <v>47</v>
      </c>
      <c r="E62" s="11" t="s">
        <v>200</v>
      </c>
      <c r="F62" s="10" t="s">
        <v>66</v>
      </c>
      <c r="G62" s="10" t="n">
        <v>8</v>
      </c>
      <c r="H62" s="10" t="str">
        <f aca="false">IF(G62/INDEX(Artigos!$G$2:$G$12,MATCH(B62,Artigos!$A$2:$A$12,0))&lt;=1/3,"início",IF(G62/INDEX(Artigos!$G$2:$G$12,MATCH(B62,Artigos!$A$2:$A$12,0))&lt;=2/3,"meio","fim"))</f>
        <v>fim</v>
      </c>
      <c r="I62" s="12"/>
      <c r="J62" s="13"/>
      <c r="K62" s="11"/>
    </row>
    <row r="63" customFormat="false" ht="15" hidden="false" customHeight="true" outlineLevel="0" collapsed="false">
      <c r="A63" s="10" t="s">
        <v>201</v>
      </c>
      <c r="B63" s="10" t="n">
        <v>7</v>
      </c>
      <c r="C63" s="11" t="s">
        <v>191</v>
      </c>
      <c r="D63" s="11" t="s">
        <v>47</v>
      </c>
      <c r="E63" s="11" t="s">
        <v>202</v>
      </c>
      <c r="F63" s="10" t="s">
        <v>66</v>
      </c>
      <c r="G63" s="10" t="n">
        <v>8</v>
      </c>
      <c r="H63" s="10" t="str">
        <f aca="false">IF(G63/INDEX(Artigos!$G$2:$G$12,MATCH(B63,Artigos!$A$2:$A$12,0))&lt;=1/3,"início",IF(G63/INDEX(Artigos!$G$2:$G$12,MATCH(B63,Artigos!$A$2:$A$12,0))&lt;=2/3,"meio","fim"))</f>
        <v>fim</v>
      </c>
      <c r="I63" s="12"/>
      <c r="J63" s="13"/>
      <c r="K63" s="11"/>
    </row>
    <row r="64" customFormat="false" ht="30" hidden="false" customHeight="true" outlineLevel="0" collapsed="false">
      <c r="A64" s="10" t="s">
        <v>203</v>
      </c>
      <c r="B64" s="10" t="n">
        <v>7</v>
      </c>
      <c r="C64" s="11" t="s">
        <v>191</v>
      </c>
      <c r="D64" s="11" t="s">
        <v>47</v>
      </c>
      <c r="E64" s="11" t="s">
        <v>204</v>
      </c>
      <c r="F64" s="10" t="s">
        <v>66</v>
      </c>
      <c r="G64" s="10" t="n">
        <v>8</v>
      </c>
      <c r="H64" s="10" t="str">
        <f aca="false">IF(G64/INDEX(Artigos!$G$2:$G$12,MATCH(B64,Artigos!$A$2:$A$12,0))&lt;=1/3,"início",IF(G64/INDEX(Artigos!$G$2:$G$12,MATCH(B64,Artigos!$A$2:$A$12,0))&lt;=2/3,"meio","fim"))</f>
        <v>fim</v>
      </c>
      <c r="I64" s="12"/>
      <c r="J64" s="13"/>
      <c r="K64" s="11"/>
    </row>
    <row r="65" customFormat="false" ht="30" hidden="false" customHeight="true" outlineLevel="0" collapsed="false">
      <c r="A65" s="10" t="s">
        <v>205</v>
      </c>
      <c r="B65" s="10" t="n">
        <v>7</v>
      </c>
      <c r="C65" s="11" t="s">
        <v>191</v>
      </c>
      <c r="D65" s="11" t="s">
        <v>47</v>
      </c>
      <c r="E65" s="11" t="s">
        <v>206</v>
      </c>
      <c r="F65" s="10" t="s">
        <v>66</v>
      </c>
      <c r="G65" s="10" t="n">
        <v>8</v>
      </c>
      <c r="H65" s="10" t="str">
        <f aca="false">IF(G65/INDEX(Artigos!$G$2:$G$12,MATCH(B65,Artigos!$A$2:$A$12,0))&lt;=1/3,"início",IF(G65/INDEX(Artigos!$G$2:$G$12,MATCH(B65,Artigos!$A$2:$A$12,0))&lt;=2/3,"meio","fim"))</f>
        <v>fim</v>
      </c>
      <c r="I65" s="12"/>
      <c r="J65" s="13"/>
      <c r="K65" s="11" t="s">
        <v>207</v>
      </c>
    </row>
    <row r="66" customFormat="false" ht="30" hidden="false" customHeight="true" outlineLevel="0" collapsed="false">
      <c r="A66" s="10" t="s">
        <v>208</v>
      </c>
      <c r="B66" s="10" t="n">
        <v>7</v>
      </c>
      <c r="C66" s="11" t="s">
        <v>191</v>
      </c>
      <c r="D66" s="11" t="s">
        <v>47</v>
      </c>
      <c r="E66" s="11" t="s">
        <v>209</v>
      </c>
      <c r="F66" s="10" t="s">
        <v>210</v>
      </c>
      <c r="G66" s="10" t="n">
        <v>1</v>
      </c>
      <c r="H66" s="10" t="str">
        <f aca="false">IF(G66/INDEX(Artigos!$G$2:$G$12,MATCH(B66,Artigos!$A$2:$A$12,0))&lt;=1/3,"início",IF(G66/INDEX(Artigos!$G$2:$G$12,MATCH(B66,Artigos!$A$2:$A$12,0))&lt;=2/3,"meio","fim"))</f>
        <v>início</v>
      </c>
      <c r="I66" s="12"/>
      <c r="J66" s="13"/>
      <c r="K66" s="11"/>
    </row>
    <row r="67" customFormat="false" ht="30" hidden="false" customHeight="true" outlineLevel="0" collapsed="false">
      <c r="A67" s="10" t="s">
        <v>211</v>
      </c>
      <c r="B67" s="10" t="n">
        <v>7</v>
      </c>
      <c r="C67" s="11" t="s">
        <v>191</v>
      </c>
      <c r="D67" s="11" t="s">
        <v>64</v>
      </c>
      <c r="E67" s="11" t="s">
        <v>212</v>
      </c>
      <c r="F67" s="10" t="s">
        <v>121</v>
      </c>
      <c r="G67" s="10" t="n">
        <v>10</v>
      </c>
      <c r="H67" s="10" t="str">
        <f aca="false">IF(G67/INDEX(Artigos!$G$2:$G$12,MATCH(B67,Artigos!$A$2:$A$12,0))&lt;=1/3,"início",IF(G67/INDEX(Artigos!$G$2:$G$12,MATCH(B67,Artigos!$A$2:$A$12,0))&lt;=2/3,"meio","fim"))</f>
        <v>fim</v>
      </c>
      <c r="I67" s="12"/>
      <c r="J67" s="13"/>
      <c r="K67" s="11"/>
    </row>
    <row r="68" customFormat="false" ht="30" hidden="false" customHeight="true" outlineLevel="0" collapsed="false">
      <c r="A68" s="14" t="s">
        <v>213</v>
      </c>
      <c r="B68" s="14" t="n">
        <v>8</v>
      </c>
      <c r="C68" s="15" t="s">
        <v>214</v>
      </c>
      <c r="D68" s="15" t="s">
        <v>34</v>
      </c>
      <c r="E68" s="15" t="s">
        <v>215</v>
      </c>
      <c r="F68" s="14" t="s">
        <v>216</v>
      </c>
      <c r="G68" s="14" t="n">
        <v>1</v>
      </c>
      <c r="H68" s="14" t="str">
        <f aca="false">IF(G68/INDEX(Artigos!$G$2:$G$12,MATCH(B68,Artigos!$A$2:$A$12,0))&lt;=1/3,"início",IF(G68/INDEX(Artigos!$G$2:$G$12,MATCH(B68,Artigos!$A$2:$A$12,0))&lt;=2/3,"meio","fim"))</f>
        <v>início</v>
      </c>
      <c r="I68" s="12"/>
      <c r="J68" s="13"/>
      <c r="K68" s="15"/>
    </row>
    <row r="69" customFormat="false" ht="90" hidden="false" customHeight="true" outlineLevel="0" collapsed="false">
      <c r="A69" s="14" t="s">
        <v>217</v>
      </c>
      <c r="B69" s="14" t="n">
        <v>8</v>
      </c>
      <c r="C69" s="15" t="s">
        <v>214</v>
      </c>
      <c r="D69" s="15" t="s">
        <v>39</v>
      </c>
      <c r="E69" s="15" t="s">
        <v>218</v>
      </c>
      <c r="F69" s="14" t="s">
        <v>36</v>
      </c>
      <c r="G69" s="14" t="n">
        <v>1</v>
      </c>
      <c r="H69" s="14" t="str">
        <f aca="false">IF(G69/INDEX(Artigos!$G$2:$G$12,MATCH(B69,Artigos!$A$2:$A$12,0))&lt;=1/3,"início",IF(G69/INDEX(Artigos!$G$2:$G$12,MATCH(B69,Artigos!$A$2:$A$12,0))&lt;=2/3,"meio","fim"))</f>
        <v>início</v>
      </c>
      <c r="I69" s="12"/>
      <c r="J69" s="13"/>
      <c r="K69" s="15" t="s">
        <v>219</v>
      </c>
    </row>
    <row r="70" customFormat="false" ht="30" hidden="false" customHeight="true" outlineLevel="0" collapsed="false">
      <c r="A70" s="14" t="s">
        <v>220</v>
      </c>
      <c r="B70" s="14" t="n">
        <v>8</v>
      </c>
      <c r="C70" s="15" t="s">
        <v>214</v>
      </c>
      <c r="D70" s="15" t="s">
        <v>47</v>
      </c>
      <c r="E70" s="15" t="s">
        <v>221</v>
      </c>
      <c r="F70" s="14" t="s">
        <v>36</v>
      </c>
      <c r="G70" s="14" t="n">
        <v>1</v>
      </c>
      <c r="H70" s="14" t="str">
        <f aca="false">IF(G70/INDEX(Artigos!$G$2:$G$12,MATCH(B70,Artigos!$A$2:$A$12,0))&lt;=1/3,"início",IF(G70/INDEX(Artigos!$G$2:$G$12,MATCH(B70,Artigos!$A$2:$A$12,0))&lt;=2/3,"meio","fim"))</f>
        <v>início</v>
      </c>
      <c r="I70" s="12"/>
      <c r="J70" s="13"/>
      <c r="K70" s="15"/>
    </row>
    <row r="71" customFormat="false" ht="30" hidden="false" customHeight="true" outlineLevel="0" collapsed="false">
      <c r="A71" s="14" t="s">
        <v>222</v>
      </c>
      <c r="B71" s="14" t="n">
        <v>8</v>
      </c>
      <c r="C71" s="15" t="s">
        <v>214</v>
      </c>
      <c r="D71" s="15" t="s">
        <v>47</v>
      </c>
      <c r="E71" s="15" t="s">
        <v>223</v>
      </c>
      <c r="F71" s="14" t="s">
        <v>224</v>
      </c>
      <c r="G71" s="14" t="n">
        <v>1</v>
      </c>
      <c r="H71" s="14" t="str">
        <f aca="false">IF(G71/INDEX(Artigos!$G$2:$G$12,MATCH(B71,Artigos!$A$2:$A$12,0))&lt;=1/3,"início",IF(G71/INDEX(Artigos!$G$2:$G$12,MATCH(B71,Artigos!$A$2:$A$12,0))&lt;=2/3,"meio","fim"))</f>
        <v>início</v>
      </c>
      <c r="I71" s="12"/>
      <c r="J71" s="13"/>
      <c r="K71" s="15"/>
    </row>
    <row r="72" customFormat="false" ht="30" hidden="false" customHeight="true" outlineLevel="0" collapsed="false">
      <c r="A72" s="14" t="s">
        <v>225</v>
      </c>
      <c r="B72" s="14" t="n">
        <v>8</v>
      </c>
      <c r="C72" s="15" t="s">
        <v>214</v>
      </c>
      <c r="D72" s="15" t="s">
        <v>47</v>
      </c>
      <c r="E72" s="15" t="s">
        <v>226</v>
      </c>
      <c r="F72" s="14" t="s">
        <v>76</v>
      </c>
      <c r="G72" s="14" t="n">
        <v>4</v>
      </c>
      <c r="H72" s="14" t="str">
        <f aca="false">IF(G72/INDEX(Artigos!$G$2:$G$12,MATCH(B72,Artigos!$A$2:$A$12,0))&lt;=1/3,"início",IF(G72/INDEX(Artigos!$G$2:$G$12,MATCH(B72,Artigos!$A$2:$A$12,0))&lt;=2/3,"meio","fim"))</f>
        <v>meio</v>
      </c>
      <c r="I72" s="12"/>
      <c r="J72" s="13"/>
      <c r="K72" s="15"/>
    </row>
    <row r="73" customFormat="false" ht="15" hidden="false" customHeight="true" outlineLevel="0" collapsed="false">
      <c r="A73" s="14" t="s">
        <v>227</v>
      </c>
      <c r="B73" s="14" t="n">
        <v>8</v>
      </c>
      <c r="C73" s="15" t="s">
        <v>214</v>
      </c>
      <c r="D73" s="15" t="s">
        <v>47</v>
      </c>
      <c r="E73" s="15" t="s">
        <v>228</v>
      </c>
      <c r="F73" s="14" t="s">
        <v>224</v>
      </c>
      <c r="G73" s="14" t="n">
        <v>1</v>
      </c>
      <c r="H73" s="14" t="str">
        <f aca="false">IF(G73/INDEX(Artigos!$G$2:$G$12,MATCH(B73,Artigos!$A$2:$A$12,0))&lt;=1/3,"início",IF(G73/INDEX(Artigos!$G$2:$G$12,MATCH(B73,Artigos!$A$2:$A$12,0))&lt;=2/3,"meio","fim"))</f>
        <v>início</v>
      </c>
      <c r="I73" s="12"/>
      <c r="J73" s="13"/>
      <c r="K73" s="15"/>
    </row>
    <row r="74" customFormat="false" ht="15" hidden="false" customHeight="true" outlineLevel="0" collapsed="false">
      <c r="A74" s="14" t="s">
        <v>229</v>
      </c>
      <c r="B74" s="14" t="n">
        <v>8</v>
      </c>
      <c r="C74" s="15" t="s">
        <v>214</v>
      </c>
      <c r="D74" s="15" t="s">
        <v>39</v>
      </c>
      <c r="E74" s="15" t="s">
        <v>230</v>
      </c>
      <c r="F74" s="14" t="s">
        <v>76</v>
      </c>
      <c r="G74" s="14" t="n">
        <v>4</v>
      </c>
      <c r="H74" s="14" t="str">
        <f aca="false">IF(G74/INDEX(Artigos!$G$2:$G$12,MATCH(B74,Artigos!$A$2:$A$12,0))&lt;=1/3,"início",IF(G74/INDEX(Artigos!$G$2:$G$12,MATCH(B74,Artigos!$A$2:$A$12,0))&lt;=2/3,"meio","fim"))</f>
        <v>meio</v>
      </c>
      <c r="I74" s="12"/>
      <c r="J74" s="13"/>
      <c r="K74" s="15"/>
    </row>
    <row r="75" customFormat="false" ht="30" hidden="false" customHeight="true" outlineLevel="0" collapsed="false">
      <c r="A75" s="14" t="s">
        <v>231</v>
      </c>
      <c r="B75" s="14" t="n">
        <v>8</v>
      </c>
      <c r="C75" s="15" t="s">
        <v>214</v>
      </c>
      <c r="D75" s="15" t="s">
        <v>47</v>
      </c>
      <c r="E75" s="15" t="s">
        <v>232</v>
      </c>
      <c r="F75" s="14" t="s">
        <v>76</v>
      </c>
      <c r="G75" s="14" t="n">
        <v>4</v>
      </c>
      <c r="H75" s="14" t="str">
        <f aca="false">IF(G75/INDEX(Artigos!$G$2:$G$12,MATCH(B75,Artigos!$A$2:$A$12,0))&lt;=1/3,"início",IF(G75/INDEX(Artigos!$G$2:$G$12,MATCH(B75,Artigos!$A$2:$A$12,0))&lt;=2/3,"meio","fim"))</f>
        <v>meio</v>
      </c>
      <c r="I75" s="12"/>
      <c r="J75" s="13"/>
      <c r="K75" s="15"/>
    </row>
    <row r="76" customFormat="false" ht="30" hidden="false" customHeight="true" outlineLevel="0" collapsed="false">
      <c r="A76" s="14" t="s">
        <v>233</v>
      </c>
      <c r="B76" s="14" t="n">
        <v>8</v>
      </c>
      <c r="C76" s="15" t="s">
        <v>214</v>
      </c>
      <c r="D76" s="15" t="s">
        <v>47</v>
      </c>
      <c r="E76" s="15" t="s">
        <v>234</v>
      </c>
      <c r="F76" s="14" t="s">
        <v>49</v>
      </c>
      <c r="G76" s="14" t="n">
        <v>6</v>
      </c>
      <c r="H76" s="14" t="str">
        <f aca="false">IF(G76/INDEX(Artigos!$G$2:$G$12,MATCH(B76,Artigos!$A$2:$A$12,0))&lt;=1/3,"início",IF(G76/INDEX(Artigos!$G$2:$G$12,MATCH(B76,Artigos!$A$2:$A$12,0))&lt;=2/3,"meio","fim"))</f>
        <v>meio</v>
      </c>
      <c r="I76" s="12"/>
      <c r="J76" s="13"/>
      <c r="K76" s="15"/>
    </row>
    <row r="77" customFormat="false" ht="45" hidden="false" customHeight="true" outlineLevel="0" collapsed="false">
      <c r="A77" s="14" t="s">
        <v>235</v>
      </c>
      <c r="B77" s="14" t="n">
        <v>8</v>
      </c>
      <c r="C77" s="15" t="s">
        <v>214</v>
      </c>
      <c r="D77" s="15" t="s">
        <v>47</v>
      </c>
      <c r="E77" s="15" t="s">
        <v>236</v>
      </c>
      <c r="F77" s="14" t="s">
        <v>66</v>
      </c>
      <c r="G77" s="14" t="n">
        <v>8</v>
      </c>
      <c r="H77" s="14" t="str">
        <f aca="false">IF(G77/INDEX(Artigos!$G$2:$G$12,MATCH(B77,Artigos!$A$2:$A$12,0))&lt;=1/3,"início",IF(G77/INDEX(Artigos!$G$2:$G$12,MATCH(B77,Artigos!$A$2:$A$12,0))&lt;=2/3,"meio","fim"))</f>
        <v>fim</v>
      </c>
      <c r="I77" s="12"/>
      <c r="J77" s="13"/>
      <c r="K77" s="15"/>
    </row>
    <row r="78" customFormat="false" ht="45" hidden="false" customHeight="true" outlineLevel="0" collapsed="false">
      <c r="A78" s="14" t="s">
        <v>237</v>
      </c>
      <c r="B78" s="14" t="n">
        <v>8</v>
      </c>
      <c r="C78" s="15" t="s">
        <v>214</v>
      </c>
      <c r="D78" s="15" t="s">
        <v>64</v>
      </c>
      <c r="E78" s="15" t="s">
        <v>238</v>
      </c>
      <c r="F78" s="14" t="s">
        <v>36</v>
      </c>
      <c r="G78" s="14" t="n">
        <v>1</v>
      </c>
      <c r="H78" s="14" t="str">
        <f aca="false">IF(G78/INDEX(Artigos!$G$2:$G$12,MATCH(B78,Artigos!$A$2:$A$12,0))&lt;=1/3,"início",IF(G78/INDEX(Artigos!$G$2:$G$12,MATCH(B78,Artigos!$A$2:$A$12,0))&lt;=2/3,"meio","fim"))</f>
        <v>início</v>
      </c>
      <c r="I78" s="12"/>
      <c r="J78" s="13"/>
      <c r="K78" s="15"/>
    </row>
    <row r="79" customFormat="false" ht="45" hidden="false" customHeight="true" outlineLevel="0" collapsed="false">
      <c r="A79" s="14" t="s">
        <v>239</v>
      </c>
      <c r="B79" s="14" t="n">
        <v>9</v>
      </c>
      <c r="C79" s="15" t="s">
        <v>240</v>
      </c>
      <c r="D79" s="15" t="s">
        <v>34</v>
      </c>
      <c r="E79" s="15" t="s">
        <v>241</v>
      </c>
      <c r="F79" s="14" t="s">
        <v>36</v>
      </c>
      <c r="G79" s="14" t="n">
        <v>1</v>
      </c>
      <c r="H79" s="14" t="str">
        <f aca="false">IF(G79/INDEX(Artigos!$G$2:$G$12,MATCH(B79,Artigos!$A$2:$A$12,0))&lt;=1/3,"início",IF(G79/INDEX(Artigos!$G$2:$G$12,MATCH(B79,Artigos!$A$2:$A$12,0))&lt;=2/3,"meio","fim"))</f>
        <v>início</v>
      </c>
      <c r="I79" s="12"/>
      <c r="J79" s="13"/>
      <c r="K79" s="15"/>
    </row>
    <row r="80" customFormat="false" ht="45" hidden="false" customHeight="true" outlineLevel="0" collapsed="false">
      <c r="A80" s="14" t="s">
        <v>242</v>
      </c>
      <c r="B80" s="14" t="n">
        <v>9</v>
      </c>
      <c r="C80" s="15" t="s">
        <v>240</v>
      </c>
      <c r="D80" s="15" t="s">
        <v>243</v>
      </c>
      <c r="E80" s="15" t="s">
        <v>244</v>
      </c>
      <c r="F80" s="14" t="s">
        <v>36</v>
      </c>
      <c r="G80" s="14" t="n">
        <v>1</v>
      </c>
      <c r="H80" s="14" t="str">
        <f aca="false">IF(G80/INDEX(Artigos!$G$2:$G$12,MATCH(B80,Artigos!$A$2:$A$12,0))&lt;=1/3,"início",IF(G80/INDEX(Artigos!$G$2:$G$12,MATCH(B80,Artigos!$A$2:$A$12,0))&lt;=2/3,"meio","fim"))</f>
        <v>início</v>
      </c>
      <c r="I80" s="12"/>
      <c r="J80" s="13"/>
      <c r="K80" s="15"/>
    </row>
    <row r="81" customFormat="false" ht="45" hidden="false" customHeight="true" outlineLevel="0" collapsed="false">
      <c r="A81" s="14" t="s">
        <v>245</v>
      </c>
      <c r="B81" s="14" t="n">
        <v>9</v>
      </c>
      <c r="C81" s="15" t="s">
        <v>240</v>
      </c>
      <c r="D81" s="15" t="s">
        <v>169</v>
      </c>
      <c r="E81" s="15" t="s">
        <v>246</v>
      </c>
      <c r="F81" s="14" t="s">
        <v>101</v>
      </c>
      <c r="G81" s="14" t="n">
        <v>2</v>
      </c>
      <c r="H81" s="14" t="str">
        <f aca="false">IF(G81/INDEX(Artigos!$G$2:$G$12,MATCH(B81,Artigos!$A$2:$A$12,0))&lt;=1/3,"início",IF(G81/INDEX(Artigos!$G$2:$G$12,MATCH(B81,Artigos!$A$2:$A$12,0))&lt;=2/3,"meio","fim"))</f>
        <v>início</v>
      </c>
      <c r="I81" s="12"/>
      <c r="J81" s="13"/>
      <c r="K81" s="15" t="s">
        <v>247</v>
      </c>
    </row>
    <row r="82" customFormat="false" ht="45" hidden="false" customHeight="true" outlineLevel="0" collapsed="false">
      <c r="A82" s="14" t="s">
        <v>248</v>
      </c>
      <c r="B82" s="14" t="n">
        <v>9</v>
      </c>
      <c r="C82" s="15" t="s">
        <v>240</v>
      </c>
      <c r="D82" s="15" t="s">
        <v>169</v>
      </c>
      <c r="E82" s="15" t="s">
        <v>249</v>
      </c>
      <c r="F82" s="14" t="s">
        <v>101</v>
      </c>
      <c r="G82" s="14" t="n">
        <v>2</v>
      </c>
      <c r="H82" s="14" t="str">
        <f aca="false">IF(G82/INDEX(Artigos!$G$2:$G$12,MATCH(B82,Artigos!$A$2:$A$12,0))&lt;=1/3,"início",IF(G82/INDEX(Artigos!$G$2:$G$12,MATCH(B82,Artigos!$A$2:$A$12,0))&lt;=2/3,"meio","fim"))</f>
        <v>início</v>
      </c>
      <c r="I82" s="12"/>
      <c r="J82" s="13"/>
      <c r="K82" s="15"/>
    </row>
    <row r="83" customFormat="false" ht="45" hidden="false" customHeight="true" outlineLevel="0" collapsed="false">
      <c r="A83" s="14" t="s">
        <v>250</v>
      </c>
      <c r="B83" s="14" t="n">
        <v>9</v>
      </c>
      <c r="C83" s="15" t="s">
        <v>240</v>
      </c>
      <c r="D83" s="15" t="s">
        <v>243</v>
      </c>
      <c r="E83" s="15" t="s">
        <v>251</v>
      </c>
      <c r="F83" s="14" t="s">
        <v>108</v>
      </c>
      <c r="G83" s="14" t="n">
        <v>3</v>
      </c>
      <c r="H83" s="14" t="str">
        <f aca="false">IF(G83/INDEX(Artigos!$G$2:$G$12,MATCH(B83,Artigos!$A$2:$A$12,0))&lt;=1/3,"início",IF(G83/INDEX(Artigos!$G$2:$G$12,MATCH(B83,Artigos!$A$2:$A$12,0))&lt;=2/3,"meio","fim"))</f>
        <v>início</v>
      </c>
      <c r="I83" s="12"/>
      <c r="J83" s="13"/>
      <c r="K83" s="15" t="s">
        <v>252</v>
      </c>
    </row>
    <row r="84" customFormat="false" ht="45" hidden="false" customHeight="true" outlineLevel="0" collapsed="false">
      <c r="A84" s="14" t="s">
        <v>253</v>
      </c>
      <c r="B84" s="14" t="n">
        <v>9</v>
      </c>
      <c r="C84" s="15" t="s">
        <v>240</v>
      </c>
      <c r="D84" s="15" t="s">
        <v>103</v>
      </c>
      <c r="E84" s="15" t="s">
        <v>254</v>
      </c>
      <c r="F84" s="14" t="s">
        <v>108</v>
      </c>
      <c r="G84" s="14" t="n">
        <v>3</v>
      </c>
      <c r="H84" s="14" t="str">
        <f aca="false">IF(G84/INDEX(Artigos!$G$2:$G$12,MATCH(B84,Artigos!$A$2:$A$12,0))&lt;=1/3,"início",IF(G84/INDEX(Artigos!$G$2:$G$12,MATCH(B84,Artigos!$A$2:$A$12,0))&lt;=2/3,"meio","fim"))</f>
        <v>início</v>
      </c>
      <c r="I84" s="12"/>
      <c r="J84" s="13"/>
      <c r="K84" s="15"/>
    </row>
    <row r="85" customFormat="false" ht="45" hidden="false" customHeight="true" outlineLevel="0" collapsed="false">
      <c r="A85" s="14" t="s">
        <v>255</v>
      </c>
      <c r="B85" s="14" t="n">
        <v>9</v>
      </c>
      <c r="C85" s="15" t="s">
        <v>240</v>
      </c>
      <c r="D85" s="15" t="s">
        <v>103</v>
      </c>
      <c r="E85" s="15" t="s">
        <v>256</v>
      </c>
      <c r="F85" s="14" t="s">
        <v>43</v>
      </c>
      <c r="G85" s="14" t="n">
        <v>5</v>
      </c>
      <c r="H85" s="14" t="str">
        <f aca="false">IF(G85/INDEX(Artigos!$G$2:$G$12,MATCH(B85,Artigos!$A$2:$A$12,0))&lt;=1/3,"início",IF(G85/INDEX(Artigos!$G$2:$G$12,MATCH(B85,Artigos!$A$2:$A$12,0))&lt;=2/3,"meio","fim"))</f>
        <v>início</v>
      </c>
      <c r="I85" s="12"/>
      <c r="J85" s="13"/>
      <c r="K85" s="15"/>
    </row>
    <row r="86" customFormat="false" ht="45" hidden="false" customHeight="true" outlineLevel="0" collapsed="false">
      <c r="A86" s="14" t="s">
        <v>257</v>
      </c>
      <c r="B86" s="14" t="n">
        <v>9</v>
      </c>
      <c r="C86" s="15" t="s">
        <v>240</v>
      </c>
      <c r="D86" s="15" t="s">
        <v>258</v>
      </c>
      <c r="E86" s="15" t="s">
        <v>259</v>
      </c>
      <c r="F86" s="14" t="s">
        <v>66</v>
      </c>
      <c r="G86" s="14" t="n">
        <v>8</v>
      </c>
      <c r="H86" s="14" t="str">
        <f aca="false">IF(G86/INDEX(Artigos!$G$2:$G$12,MATCH(B86,Artigos!$A$2:$A$12,0))&lt;=1/3,"início",IF(G86/INDEX(Artigos!$G$2:$G$12,MATCH(B86,Artigos!$A$2:$A$12,0))&lt;=2/3,"meio","fim"))</f>
        <v>meio</v>
      </c>
      <c r="I86" s="12"/>
      <c r="J86" s="13"/>
      <c r="K86" s="15"/>
    </row>
    <row r="87" customFormat="false" ht="45" hidden="false" customHeight="true" outlineLevel="0" collapsed="false">
      <c r="A87" s="14" t="s">
        <v>260</v>
      </c>
      <c r="B87" s="14" t="n">
        <v>9</v>
      </c>
      <c r="C87" s="15" t="s">
        <v>240</v>
      </c>
      <c r="D87" s="15" t="s">
        <v>103</v>
      </c>
      <c r="E87" s="15" t="s">
        <v>261</v>
      </c>
      <c r="F87" s="14" t="s">
        <v>121</v>
      </c>
      <c r="G87" s="14" t="n">
        <v>10</v>
      </c>
      <c r="H87" s="14" t="str">
        <f aca="false">IF(G87/INDEX(Artigos!$G$2:$G$12,MATCH(B87,Artigos!$A$2:$A$12,0))&lt;=1/3,"início",IF(G87/INDEX(Artigos!$G$2:$G$12,MATCH(B87,Artigos!$A$2:$A$12,0))&lt;=2/3,"meio","fim"))</f>
        <v>meio</v>
      </c>
      <c r="I87" s="12"/>
      <c r="J87" s="13"/>
      <c r="K87" s="15"/>
    </row>
    <row r="88" customFormat="false" ht="45" hidden="false" customHeight="true" outlineLevel="0" collapsed="false">
      <c r="A88" s="14" t="s">
        <v>262</v>
      </c>
      <c r="B88" s="14" t="n">
        <v>9</v>
      </c>
      <c r="C88" s="15" t="s">
        <v>240</v>
      </c>
      <c r="D88" s="15" t="s">
        <v>39</v>
      </c>
      <c r="E88" s="15" t="s">
        <v>263</v>
      </c>
      <c r="F88" s="14" t="s">
        <v>88</v>
      </c>
      <c r="G88" s="14" t="n">
        <v>11</v>
      </c>
      <c r="H88" s="14" t="str">
        <f aca="false">IF(G88/INDEX(Artigos!$G$2:$G$12,MATCH(B88,Artigos!$A$2:$A$12,0))&lt;=1/3,"início",IF(G88/INDEX(Artigos!$G$2:$G$12,MATCH(B88,Artigos!$A$2:$A$12,0))&lt;=2/3,"meio","fim"))</f>
        <v>meio</v>
      </c>
      <c r="I88" s="12"/>
      <c r="J88" s="13"/>
      <c r="K88" s="15"/>
    </row>
    <row r="89" customFormat="false" ht="45" hidden="false" customHeight="true" outlineLevel="0" collapsed="false">
      <c r="A89" s="14" t="s">
        <v>264</v>
      </c>
      <c r="B89" s="14" t="n">
        <v>9</v>
      </c>
      <c r="C89" s="15" t="s">
        <v>240</v>
      </c>
      <c r="D89" s="15" t="s">
        <v>47</v>
      </c>
      <c r="E89" s="15" t="s">
        <v>265</v>
      </c>
      <c r="F89" s="14" t="s">
        <v>266</v>
      </c>
      <c r="G89" s="14" t="n">
        <v>13</v>
      </c>
      <c r="H89" s="14" t="str">
        <f aca="false">IF(G89/INDEX(Artigos!$G$2:$G$12,MATCH(B89,Artigos!$A$2:$A$12,0))&lt;=1/3,"início",IF(G89/INDEX(Artigos!$G$2:$G$12,MATCH(B89,Artigos!$A$2:$A$12,0))&lt;=2/3,"meio","fim"))</f>
        <v>fim</v>
      </c>
      <c r="I89" s="12"/>
      <c r="J89" s="13"/>
      <c r="K89" s="15" t="s">
        <v>267</v>
      </c>
    </row>
    <row r="90" customFormat="false" ht="45" hidden="false" customHeight="true" outlineLevel="0" collapsed="false">
      <c r="A90" s="14" t="s">
        <v>268</v>
      </c>
      <c r="B90" s="14" t="n">
        <v>10</v>
      </c>
      <c r="C90" s="15" t="s">
        <v>269</v>
      </c>
      <c r="D90" s="15" t="s">
        <v>34</v>
      </c>
      <c r="E90" s="15" t="s">
        <v>270</v>
      </c>
      <c r="F90" s="14" t="s">
        <v>36</v>
      </c>
      <c r="G90" s="14" t="n">
        <v>1</v>
      </c>
      <c r="H90" s="14" t="str">
        <f aca="false">IF(G90/INDEX(Artigos!$G$2:$G$12,MATCH(B90,Artigos!$A$2:$A$12,0))&lt;=1/3,"início",IF(G90/INDEX(Artigos!$G$2:$G$12,MATCH(B90,Artigos!$A$2:$A$12,0))&lt;=2/3,"meio","fim"))</f>
        <v>início</v>
      </c>
      <c r="I90" s="12"/>
      <c r="J90" s="13"/>
      <c r="K90" s="15"/>
    </row>
    <row r="91" customFormat="false" ht="45" hidden="false" customHeight="true" outlineLevel="0" collapsed="false">
      <c r="A91" s="14" t="s">
        <v>271</v>
      </c>
      <c r="B91" s="14" t="n">
        <v>10</v>
      </c>
      <c r="C91" s="15" t="s">
        <v>269</v>
      </c>
      <c r="D91" s="15" t="s">
        <v>39</v>
      </c>
      <c r="E91" s="15" t="s">
        <v>272</v>
      </c>
      <c r="F91" s="14" t="s">
        <v>36</v>
      </c>
      <c r="G91" s="14" t="n">
        <v>1</v>
      </c>
      <c r="H91" s="14" t="str">
        <f aca="false">IF(G91/INDEX(Artigos!$G$2:$G$12,MATCH(B91,Artigos!$A$2:$A$12,0))&lt;=1/3,"início",IF(G91/INDEX(Artigos!$G$2:$G$12,MATCH(B91,Artigos!$A$2:$A$12,0))&lt;=2/3,"meio","fim"))</f>
        <v>início</v>
      </c>
      <c r="I91" s="12"/>
      <c r="J91" s="13"/>
      <c r="K91" s="15"/>
    </row>
    <row r="92" customFormat="false" ht="45" hidden="false" customHeight="true" outlineLevel="0" collapsed="false">
      <c r="A92" s="14" t="s">
        <v>273</v>
      </c>
      <c r="B92" s="14" t="n">
        <v>10</v>
      </c>
      <c r="C92" s="15" t="s">
        <v>269</v>
      </c>
      <c r="D92" s="15" t="s">
        <v>99</v>
      </c>
      <c r="E92" s="15" t="s">
        <v>274</v>
      </c>
      <c r="F92" s="14" t="s">
        <v>101</v>
      </c>
      <c r="G92" s="14" t="n">
        <v>2</v>
      </c>
      <c r="H92" s="14" t="str">
        <f aca="false">IF(G92/INDEX(Artigos!$G$2:$G$12,MATCH(B92,Artigos!$A$2:$A$12,0))&lt;=1/3,"início",IF(G92/INDEX(Artigos!$G$2:$G$12,MATCH(B92,Artigos!$A$2:$A$12,0))&lt;=2/3,"meio","fim"))</f>
        <v>início</v>
      </c>
      <c r="I92" s="12"/>
      <c r="J92" s="13"/>
      <c r="K92" s="15"/>
    </row>
    <row r="93" customFormat="false" ht="45" hidden="false" customHeight="true" outlineLevel="0" collapsed="false">
      <c r="A93" s="14" t="s">
        <v>275</v>
      </c>
      <c r="B93" s="14" t="n">
        <v>10</v>
      </c>
      <c r="C93" s="15" t="s">
        <v>269</v>
      </c>
      <c r="D93" s="15" t="s">
        <v>99</v>
      </c>
      <c r="E93" s="15" t="s">
        <v>276</v>
      </c>
      <c r="F93" s="14" t="s">
        <v>101</v>
      </c>
      <c r="G93" s="14" t="n">
        <v>2</v>
      </c>
      <c r="H93" s="14" t="str">
        <f aca="false">IF(G93/INDEX(Artigos!$G$2:$G$12,MATCH(B93,Artigos!$A$2:$A$12,0))&lt;=1/3,"início",IF(G93/INDEX(Artigos!$G$2:$G$12,MATCH(B93,Artigos!$A$2:$A$12,0))&lt;=2/3,"meio","fim"))</f>
        <v>início</v>
      </c>
      <c r="I93" s="12"/>
      <c r="J93" s="13"/>
      <c r="K93" s="15"/>
    </row>
    <row r="94" customFormat="false" ht="45" hidden="false" customHeight="true" outlineLevel="0" collapsed="false">
      <c r="A94" s="14" t="s">
        <v>277</v>
      </c>
      <c r="B94" s="14" t="n">
        <v>10</v>
      </c>
      <c r="C94" s="15" t="s">
        <v>269</v>
      </c>
      <c r="D94" s="15" t="s">
        <v>106</v>
      </c>
      <c r="E94" s="15" t="s">
        <v>278</v>
      </c>
      <c r="F94" s="14" t="s">
        <v>108</v>
      </c>
      <c r="G94" s="14" t="n">
        <v>3</v>
      </c>
      <c r="H94" s="14" t="str">
        <f aca="false">IF(G94/INDEX(Artigos!$G$2:$G$12,MATCH(B94,Artigos!$A$2:$A$12,0))&lt;=1/3,"início",IF(G94/INDEX(Artigos!$G$2:$G$12,MATCH(B94,Artigos!$A$2:$A$12,0))&lt;=2/3,"meio","fim"))</f>
        <v>início</v>
      </c>
      <c r="I94" s="12"/>
      <c r="J94" s="13"/>
      <c r="K94" s="15"/>
    </row>
    <row r="95" customFormat="false" ht="45" hidden="false" customHeight="true" outlineLevel="0" collapsed="false">
      <c r="A95" s="14" t="s">
        <v>279</v>
      </c>
      <c r="B95" s="14" t="n">
        <v>10</v>
      </c>
      <c r="C95" s="15" t="s">
        <v>269</v>
      </c>
      <c r="D95" s="15" t="s">
        <v>39</v>
      </c>
      <c r="E95" s="15" t="s">
        <v>280</v>
      </c>
      <c r="F95" s="14" t="s">
        <v>76</v>
      </c>
      <c r="G95" s="14" t="n">
        <v>4</v>
      </c>
      <c r="H95" s="14" t="str">
        <f aca="false">IF(G95/INDEX(Artigos!$G$2:$G$12,MATCH(B95,Artigos!$A$2:$A$12,0))&lt;=1/3,"início",IF(G95/INDEX(Artigos!$G$2:$G$12,MATCH(B95,Artigos!$A$2:$A$12,0))&lt;=2/3,"meio","fim"))</f>
        <v>meio</v>
      </c>
      <c r="I95" s="12"/>
      <c r="J95" s="13"/>
      <c r="K95" s="15"/>
    </row>
    <row r="96" customFormat="false" ht="45" hidden="false" customHeight="true" outlineLevel="0" collapsed="false">
      <c r="A96" s="14" t="s">
        <v>281</v>
      </c>
      <c r="B96" s="14" t="n">
        <v>10</v>
      </c>
      <c r="C96" s="15" t="s">
        <v>269</v>
      </c>
      <c r="D96" s="15" t="s">
        <v>47</v>
      </c>
      <c r="E96" s="15" t="s">
        <v>282</v>
      </c>
      <c r="F96" s="14" t="s">
        <v>43</v>
      </c>
      <c r="G96" s="14" t="n">
        <v>5</v>
      </c>
      <c r="H96" s="14" t="str">
        <f aca="false">IF(G96/INDEX(Artigos!$G$2:$G$12,MATCH(B96,Artigos!$A$2:$A$12,0))&lt;=1/3,"início",IF(G96/INDEX(Artigos!$G$2:$G$12,MATCH(B96,Artigos!$A$2:$A$12,0))&lt;=2/3,"meio","fim"))</f>
        <v>meio</v>
      </c>
      <c r="I96" s="12"/>
      <c r="J96" s="13"/>
      <c r="K96" s="15"/>
    </row>
    <row r="97" customFormat="false" ht="45" hidden="false" customHeight="true" outlineLevel="0" collapsed="false">
      <c r="A97" s="14" t="s">
        <v>283</v>
      </c>
      <c r="B97" s="14" t="n">
        <v>10</v>
      </c>
      <c r="C97" s="15" t="s">
        <v>269</v>
      </c>
      <c r="D97" s="15" t="s">
        <v>47</v>
      </c>
      <c r="E97" s="15" t="s">
        <v>284</v>
      </c>
      <c r="F97" s="14" t="s">
        <v>52</v>
      </c>
      <c r="G97" s="14" t="n">
        <v>7</v>
      </c>
      <c r="H97" s="14" t="str">
        <f aca="false">IF(G97/INDEX(Artigos!$G$2:$G$12,MATCH(B97,Artigos!$A$2:$A$12,0))&lt;=1/3,"início",IF(G97/INDEX(Artigos!$G$2:$G$12,MATCH(B97,Artigos!$A$2:$A$12,0))&lt;=2/3,"meio","fim"))</f>
        <v>meio</v>
      </c>
      <c r="I97" s="12"/>
      <c r="J97" s="13"/>
      <c r="K97" s="15" t="s">
        <v>285</v>
      </c>
    </row>
    <row r="98" customFormat="false" ht="45" hidden="false" customHeight="true" outlineLevel="0" collapsed="false">
      <c r="A98" s="14" t="s">
        <v>286</v>
      </c>
      <c r="B98" s="14" t="n">
        <v>10</v>
      </c>
      <c r="C98" s="15" t="s">
        <v>269</v>
      </c>
      <c r="D98" s="15" t="s">
        <v>47</v>
      </c>
      <c r="E98" s="15" t="s">
        <v>287</v>
      </c>
      <c r="F98" s="14" t="s">
        <v>288</v>
      </c>
      <c r="G98" s="14" t="n">
        <v>7</v>
      </c>
      <c r="H98" s="14" t="str">
        <f aca="false">IF(G98/INDEX(Artigos!$G$2:$G$12,MATCH(B98,Artigos!$A$2:$A$12,0))&lt;=1/3,"início",IF(G98/INDEX(Artigos!$G$2:$G$12,MATCH(B98,Artigos!$A$2:$A$12,0))&lt;=2/3,"meio","fim"))</f>
        <v>meio</v>
      </c>
      <c r="I98" s="12"/>
      <c r="J98" s="13"/>
      <c r="K98" s="15" t="s">
        <v>92</v>
      </c>
    </row>
    <row r="99" customFormat="false" ht="45" hidden="false" customHeight="true" outlineLevel="0" collapsed="false">
      <c r="A99" s="14" t="s">
        <v>289</v>
      </c>
      <c r="B99" s="14" t="n">
        <v>10</v>
      </c>
      <c r="C99" s="15" t="s">
        <v>269</v>
      </c>
      <c r="D99" s="15" t="s">
        <v>47</v>
      </c>
      <c r="E99" s="15" t="s">
        <v>290</v>
      </c>
      <c r="F99" s="14" t="s">
        <v>121</v>
      </c>
      <c r="G99" s="14" t="n">
        <v>10</v>
      </c>
      <c r="H99" s="14" t="str">
        <f aca="false">IF(G99/INDEX(Artigos!$G$2:$G$12,MATCH(B99,Artigos!$A$2:$A$12,0))&lt;=1/3,"início",IF(G99/INDEX(Artigos!$G$2:$G$12,MATCH(B99,Artigos!$A$2:$A$12,0))&lt;=2/3,"meio","fim"))</f>
        <v>fim</v>
      </c>
      <c r="I99" s="12"/>
      <c r="J99" s="13"/>
      <c r="K99" s="15" t="s">
        <v>291</v>
      </c>
    </row>
    <row r="100" customFormat="false" ht="45" hidden="false" customHeight="true" outlineLevel="0" collapsed="false">
      <c r="A100" s="14" t="s">
        <v>292</v>
      </c>
      <c r="B100" s="14" t="n">
        <v>10</v>
      </c>
      <c r="C100" s="15" t="s">
        <v>269</v>
      </c>
      <c r="D100" s="15" t="s">
        <v>169</v>
      </c>
      <c r="E100" s="15" t="s">
        <v>293</v>
      </c>
      <c r="F100" s="14" t="s">
        <v>121</v>
      </c>
      <c r="G100" s="14" t="n">
        <v>10</v>
      </c>
      <c r="H100" s="14" t="str">
        <f aca="false">IF(G100/INDEX(Artigos!$G$2:$G$12,MATCH(B100,Artigos!$A$2:$A$12,0))&lt;=1/3,"início",IF(G100/INDEX(Artigos!$G$2:$G$12,MATCH(B100,Artigos!$A$2:$A$12,0))&lt;=2/3,"meio","fim"))</f>
        <v>fim</v>
      </c>
      <c r="I100" s="12"/>
      <c r="J100" s="13"/>
      <c r="K100" s="15"/>
    </row>
    <row r="101" customFormat="false" ht="45" hidden="false" customHeight="true" outlineLevel="0" collapsed="false">
      <c r="A101" s="14" t="s">
        <v>294</v>
      </c>
      <c r="B101" s="14" t="n">
        <v>11</v>
      </c>
      <c r="C101" s="15" t="s">
        <v>295</v>
      </c>
      <c r="D101" s="15" t="s">
        <v>99</v>
      </c>
      <c r="E101" s="15" t="s">
        <v>296</v>
      </c>
      <c r="F101" s="14" t="s">
        <v>76</v>
      </c>
      <c r="G101" s="14" t="n">
        <v>4</v>
      </c>
      <c r="H101" s="14" t="str">
        <f aca="false">IF(G101/INDEX(Artigos!$G$2:$G$12,MATCH(B101,Artigos!$A$2:$A$12,0))&lt;=1/3,"início",IF(G101/INDEX(Artigos!$G$2:$G$12,MATCH(B101,Artigos!$A$2:$A$12,0))&lt;=2/3,"meio","fim"))</f>
        <v>início</v>
      </c>
      <c r="I101" s="12"/>
      <c r="J101" s="13"/>
      <c r="K101" s="15" t="s">
        <v>297</v>
      </c>
    </row>
    <row r="102" customFormat="false" ht="45" hidden="false" customHeight="true" outlineLevel="0" collapsed="false">
      <c r="A102" s="14" t="s">
        <v>298</v>
      </c>
      <c r="B102" s="14" t="n">
        <v>11</v>
      </c>
      <c r="C102" s="15" t="s">
        <v>295</v>
      </c>
      <c r="D102" s="15" t="s">
        <v>99</v>
      </c>
      <c r="E102" s="15" t="s">
        <v>299</v>
      </c>
      <c r="F102" s="14" t="s">
        <v>43</v>
      </c>
      <c r="G102" s="14" t="n">
        <v>5</v>
      </c>
      <c r="H102" s="14" t="str">
        <f aca="false">IF(G102/INDEX(Artigos!$G$2:$G$12,MATCH(B102,Artigos!$A$2:$A$12,0))&lt;=1/3,"início",IF(G102/INDEX(Artigos!$G$2:$G$12,MATCH(B102,Artigos!$A$2:$A$12,0))&lt;=2/3,"meio","fim"))</f>
        <v>início</v>
      </c>
      <c r="I102" s="12"/>
      <c r="J102" s="13"/>
      <c r="K102" s="15"/>
    </row>
    <row r="103" customFormat="false" ht="45" hidden="false" customHeight="true" outlineLevel="0" collapsed="false">
      <c r="A103" s="14" t="s">
        <v>300</v>
      </c>
      <c r="B103" s="14" t="n">
        <v>11</v>
      </c>
      <c r="C103" s="15" t="s">
        <v>295</v>
      </c>
      <c r="D103" s="15" t="s">
        <v>103</v>
      </c>
      <c r="E103" s="15" t="s">
        <v>301</v>
      </c>
      <c r="F103" s="14" t="s">
        <v>49</v>
      </c>
      <c r="G103" s="14" t="n">
        <v>6</v>
      </c>
      <c r="H103" s="14" t="str">
        <f aca="false">IF(G103/INDEX(Artigos!$G$2:$G$12,MATCH(B103,Artigos!$A$2:$A$12,0))&lt;=1/3,"início",IF(G103/INDEX(Artigos!$G$2:$G$12,MATCH(B103,Artigos!$A$2:$A$12,0))&lt;=2/3,"meio","fim"))</f>
        <v>início</v>
      </c>
      <c r="I103" s="12"/>
      <c r="J103" s="13"/>
      <c r="K103" s="15"/>
    </row>
    <row r="104" customFormat="false" ht="45" hidden="false" customHeight="true" outlineLevel="0" collapsed="false">
      <c r="A104" s="14" t="s">
        <v>302</v>
      </c>
      <c r="B104" s="14" t="n">
        <v>11</v>
      </c>
      <c r="C104" s="15" t="s">
        <v>295</v>
      </c>
      <c r="D104" s="15" t="s">
        <v>34</v>
      </c>
      <c r="E104" s="15" t="s">
        <v>303</v>
      </c>
      <c r="F104" s="14" t="s">
        <v>52</v>
      </c>
      <c r="G104" s="14" t="n">
        <v>7</v>
      </c>
      <c r="H104" s="14" t="str">
        <f aca="false">IF(G104/INDEX(Artigos!$G$2:$G$12,MATCH(B104,Artigos!$A$2:$A$12,0))&lt;=1/3,"início",IF(G104/INDEX(Artigos!$G$2:$G$12,MATCH(B104,Artigos!$A$2:$A$12,0))&lt;=2/3,"meio","fim"))</f>
        <v>início</v>
      </c>
      <c r="I104" s="12"/>
      <c r="J104" s="13"/>
      <c r="K104" s="15"/>
    </row>
    <row r="105" customFormat="false" ht="45" hidden="false" customHeight="true" outlineLevel="0" collapsed="false">
      <c r="A105" s="14" t="s">
        <v>304</v>
      </c>
      <c r="B105" s="14" t="n">
        <v>11</v>
      </c>
      <c r="C105" s="15" t="s">
        <v>295</v>
      </c>
      <c r="D105" s="15" t="s">
        <v>99</v>
      </c>
      <c r="E105" s="15" t="s">
        <v>305</v>
      </c>
      <c r="F105" s="14" t="s">
        <v>66</v>
      </c>
      <c r="G105" s="14" t="n">
        <v>8</v>
      </c>
      <c r="H105" s="14" t="str">
        <f aca="false">IF(G105/INDEX(Artigos!$G$2:$G$12,MATCH(B105,Artigos!$A$2:$A$12,0))&lt;=1/3,"início",IF(G105/INDEX(Artigos!$G$2:$G$12,MATCH(B105,Artigos!$A$2:$A$12,0))&lt;=2/3,"meio","fim"))</f>
        <v>meio</v>
      </c>
      <c r="I105" s="12"/>
      <c r="J105" s="13"/>
      <c r="K105" s="15" t="s">
        <v>306</v>
      </c>
    </row>
    <row r="106" customFormat="false" ht="45" hidden="false" customHeight="true" outlineLevel="0" collapsed="false">
      <c r="A106" s="14" t="s">
        <v>307</v>
      </c>
      <c r="B106" s="14" t="n">
        <v>11</v>
      </c>
      <c r="C106" s="15" t="s">
        <v>295</v>
      </c>
      <c r="D106" s="15" t="s">
        <v>103</v>
      </c>
      <c r="E106" s="15" t="s">
        <v>308</v>
      </c>
      <c r="F106" s="14" t="s">
        <v>88</v>
      </c>
      <c r="G106" s="14" t="n">
        <v>11</v>
      </c>
      <c r="H106" s="14" t="str">
        <f aca="false">IF(G106/INDEX(Artigos!$G$2:$G$12,MATCH(B106,Artigos!$A$2:$A$12,0))&lt;=1/3,"início",IF(G106/INDEX(Artigos!$G$2:$G$12,MATCH(B106,Artigos!$A$2:$A$12,0))&lt;=2/3,"meio","fim"))</f>
        <v>meio</v>
      </c>
      <c r="I106" s="12"/>
      <c r="J106" s="13"/>
      <c r="K106" s="15" t="s">
        <v>309</v>
      </c>
    </row>
    <row r="107" customFormat="false" ht="45" hidden="false" customHeight="true" outlineLevel="0" collapsed="false">
      <c r="A107" s="14" t="s">
        <v>310</v>
      </c>
      <c r="B107" s="14" t="n">
        <v>11</v>
      </c>
      <c r="C107" s="15" t="s">
        <v>295</v>
      </c>
      <c r="D107" s="15" t="s">
        <v>110</v>
      </c>
      <c r="E107" s="15" t="s">
        <v>311</v>
      </c>
      <c r="F107" s="14" t="s">
        <v>137</v>
      </c>
      <c r="G107" s="14" t="n">
        <v>14</v>
      </c>
      <c r="H107" s="14" t="str">
        <f aca="false">IF(G107/INDEX(Artigos!$G$2:$G$12,MATCH(B107,Artigos!$A$2:$A$12,0))&lt;=1/3,"início",IF(G107/INDEX(Artigos!$G$2:$G$12,MATCH(B107,Artigos!$A$2:$A$12,0))&lt;=2/3,"meio","fim"))</f>
        <v>meio</v>
      </c>
      <c r="I107" s="12"/>
      <c r="J107" s="13"/>
      <c r="K107" s="15"/>
    </row>
    <row r="108" customFormat="false" ht="45" hidden="false" customHeight="true" outlineLevel="0" collapsed="false">
      <c r="A108" s="14" t="s">
        <v>312</v>
      </c>
      <c r="B108" s="14" t="n">
        <v>11</v>
      </c>
      <c r="C108" s="15" t="s">
        <v>295</v>
      </c>
      <c r="D108" s="15" t="s">
        <v>313</v>
      </c>
      <c r="E108" s="15" t="s">
        <v>314</v>
      </c>
      <c r="F108" s="14" t="s">
        <v>144</v>
      </c>
      <c r="G108" s="14" t="n">
        <v>17</v>
      </c>
      <c r="H108" s="14" t="str">
        <f aca="false">IF(G108/INDEX(Artigos!$G$2:$G$12,MATCH(B108,Artigos!$A$2:$A$12,0))&lt;=1/3,"início",IF(G108/INDEX(Artigos!$G$2:$G$12,MATCH(B108,Artigos!$A$2:$A$12,0))&lt;=2/3,"meio","fim"))</f>
        <v>fim</v>
      </c>
      <c r="I108" s="12"/>
      <c r="J108" s="13"/>
      <c r="K108" s="15"/>
    </row>
    <row r="109" customFormat="false" ht="45" hidden="false" customHeight="true" outlineLevel="0" collapsed="false">
      <c r="A109" s="14" t="s">
        <v>315</v>
      </c>
      <c r="B109" s="14" t="n">
        <v>11</v>
      </c>
      <c r="C109" s="15" t="s">
        <v>295</v>
      </c>
      <c r="D109" s="15" t="s">
        <v>47</v>
      </c>
      <c r="E109" s="15" t="s">
        <v>316</v>
      </c>
      <c r="F109" s="14" t="s">
        <v>317</v>
      </c>
      <c r="G109" s="14" t="n">
        <v>18</v>
      </c>
      <c r="H109" s="14" t="str">
        <f aca="false">IF(G109/INDEX(Artigos!$G$2:$G$12,MATCH(B109,Artigos!$A$2:$A$12,0))&lt;=1/3,"início",IF(G109/INDEX(Artigos!$G$2:$G$12,MATCH(B109,Artigos!$A$2:$A$12,0))&lt;=2/3,"meio","fim"))</f>
        <v>fim</v>
      </c>
      <c r="I109" s="12"/>
      <c r="J109" s="13"/>
      <c r="K109" s="15"/>
    </row>
    <row r="110" customFormat="false" ht="45" hidden="false" customHeight="true" outlineLevel="0" collapsed="false">
      <c r="A110" s="14" t="s">
        <v>318</v>
      </c>
      <c r="B110" s="14" t="n">
        <v>11</v>
      </c>
      <c r="C110" s="15" t="s">
        <v>295</v>
      </c>
      <c r="D110" s="15" t="s">
        <v>169</v>
      </c>
      <c r="E110" s="15" t="s">
        <v>319</v>
      </c>
      <c r="F110" s="14" t="s">
        <v>320</v>
      </c>
      <c r="G110" s="14" t="n">
        <v>19</v>
      </c>
      <c r="H110" s="14" t="str">
        <f aca="false">IF(G110/INDEX(Artigos!$G$2:$G$12,MATCH(B110,Artigos!$A$2:$A$12,0))&lt;=1/3,"início",IF(G110/INDEX(Artigos!$G$2:$G$12,MATCH(B110,Artigos!$A$2:$A$12,0))&lt;=2/3,"meio","fim"))</f>
        <v>fim</v>
      </c>
      <c r="I110" s="12"/>
      <c r="J110" s="13"/>
      <c r="K110" s="15"/>
    </row>
  </sheetData>
  <autoFilter ref="A1:K78"/>
  <conditionalFormatting sqref="I2:I110">
    <cfRule type="expression" priority="2" aboveAverage="0" equalAverage="0" bottom="0" percent="0" rank="0" text="" dxfId="6">
      <formula>$I2="Aprovada"</formula>
    </cfRule>
    <cfRule type="expression" priority="3" aboveAverage="0" equalAverage="0" bottom="0" percent="0" rank="0" text="" dxfId="7">
      <formula>$I2="Corrigir"</formula>
    </cfRule>
    <cfRule type="expression" priority="4" aboveAverage="0" equalAverage="0" bottom="0" percent="0" rank="0" text="" dxfId="8">
      <formula>$I2="Rejeitar"</formula>
    </cfRule>
  </conditionalFormatting>
  <dataValidations count="1">
    <dataValidation allowBlank="true" error="Use Aprovada, Corrigir ou Rejeitar" errorStyle="stop" errorTitle="Status" operator="between" showDropDown="false" showErrorMessage="false" showInputMessage="false" sqref="I2:I110" type="list">
      <formula1>"Aprovada,Corrigir,Rejeitar"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0"/>
    <col collapsed="false" customWidth="true" hidden="false" outlineLevel="0" max="3" min="3" style="1" width="60"/>
    <col collapsed="false" customWidth="true" hidden="false" outlineLevel="0" max="4" min="4" style="1" width="42"/>
    <col collapsed="false" customWidth="true" hidden="false" outlineLevel="0" max="5" min="5" style="1" width="32"/>
    <col collapsed="false" customWidth="true" hidden="false" outlineLevel="0" max="6" min="6" style="1" width="7"/>
    <col collapsed="false" customWidth="true" hidden="false" outlineLevel="0" max="7" min="7" style="1" width="10"/>
    <col collapsed="false" customWidth="true" hidden="false" outlineLevel="0" max="8" min="8" style="1" width="30"/>
    <col collapsed="false" customWidth="true" hidden="false" outlineLevel="0" max="10" min="9" style="1" width="11"/>
  </cols>
  <sheetData>
    <row r="1" customFormat="false" ht="23.25" hidden="false" customHeight="true" outlineLevel="0" collapsed="false">
      <c r="A1" s="8" t="s">
        <v>321</v>
      </c>
      <c r="B1" s="8" t="s">
        <v>23</v>
      </c>
      <c r="C1" s="8" t="s">
        <v>322</v>
      </c>
      <c r="D1" s="8" t="s">
        <v>323</v>
      </c>
      <c r="E1" s="8" t="s">
        <v>324</v>
      </c>
      <c r="F1" s="8" t="s">
        <v>325</v>
      </c>
      <c r="G1" s="8" t="s">
        <v>326</v>
      </c>
      <c r="H1" s="8" t="s">
        <v>327</v>
      </c>
      <c r="I1" s="8" t="s">
        <v>328</v>
      </c>
      <c r="J1" s="8" t="s">
        <v>17</v>
      </c>
    </row>
    <row r="2" customFormat="false" ht="23.25" hidden="false" customHeight="true" outlineLevel="0" collapsed="false">
      <c r="A2" s="10" t="n">
        <v>1</v>
      </c>
      <c r="B2" s="11" t="s">
        <v>33</v>
      </c>
      <c r="C2" s="11" t="s">
        <v>329</v>
      </c>
      <c r="D2" s="11" t="s">
        <v>330</v>
      </c>
      <c r="E2" s="11" t="s">
        <v>331</v>
      </c>
      <c r="F2" s="10" t="s">
        <v>332</v>
      </c>
      <c r="G2" s="10" t="n">
        <v>10</v>
      </c>
      <c r="H2" s="11" t="s">
        <v>333</v>
      </c>
      <c r="I2" s="10" t="n">
        <f aca="false">COUNTIF(Gabarito!B$2:B$1000,A2)</f>
        <v>10</v>
      </c>
      <c r="J2" s="10" t="n">
        <f aca="false">COUNTIFS(Gabarito!B$2:B$1000,A2,Gabarito!I$2:I$1000,"Aprovada")</f>
        <v>0</v>
      </c>
    </row>
    <row r="3" customFormat="false" ht="23.25" hidden="false" customHeight="true" outlineLevel="0" collapsed="false">
      <c r="A3" s="10" t="n">
        <v>2</v>
      </c>
      <c r="B3" s="11" t="s">
        <v>68</v>
      </c>
      <c r="C3" s="11" t="s">
        <v>334</v>
      </c>
      <c r="D3" s="11" t="s">
        <v>335</v>
      </c>
      <c r="E3" s="11" t="s">
        <v>336</v>
      </c>
      <c r="F3" s="10" t="s">
        <v>337</v>
      </c>
      <c r="G3" s="10" t="n">
        <v>12</v>
      </c>
      <c r="H3" s="11" t="s">
        <v>338</v>
      </c>
      <c r="I3" s="10" t="n">
        <f aca="false">COUNTIF(Gabarito!B$2:B$1000,A3)</f>
        <v>10</v>
      </c>
      <c r="J3" s="10" t="n">
        <f aca="false">COUNTIFS(Gabarito!B$2:B$1000,A3,Gabarito!I$2:I$1000,"Aprovada")</f>
        <v>0</v>
      </c>
    </row>
    <row r="4" customFormat="false" ht="23.25" hidden="false" customHeight="true" outlineLevel="0" collapsed="false">
      <c r="A4" s="10" t="n">
        <v>3</v>
      </c>
      <c r="B4" s="11" t="s">
        <v>94</v>
      </c>
      <c r="C4" s="11" t="s">
        <v>339</v>
      </c>
      <c r="D4" s="11" t="s">
        <v>340</v>
      </c>
      <c r="E4" s="11" t="s">
        <v>341</v>
      </c>
      <c r="F4" s="10" t="s">
        <v>342</v>
      </c>
      <c r="G4" s="10" t="n">
        <v>11</v>
      </c>
      <c r="H4" s="11" t="s">
        <v>343</v>
      </c>
      <c r="I4" s="10" t="n">
        <f aca="false">COUNTIF(Gabarito!B$2:B$1000,A4)</f>
        <v>10</v>
      </c>
      <c r="J4" s="10" t="n">
        <f aca="false">COUNTIFS(Gabarito!B$2:B$1000,A4,Gabarito!I$2:I$1000,"Aprovada")</f>
        <v>0</v>
      </c>
    </row>
    <row r="5" customFormat="false" ht="23.25" hidden="false" customHeight="true" outlineLevel="0" collapsed="false">
      <c r="A5" s="10" t="n">
        <v>4</v>
      </c>
      <c r="B5" s="11" t="s">
        <v>123</v>
      </c>
      <c r="C5" s="11" t="s">
        <v>344</v>
      </c>
      <c r="D5" s="11" t="s">
        <v>345</v>
      </c>
      <c r="E5" s="11" t="s">
        <v>331</v>
      </c>
      <c r="F5" s="10" t="s">
        <v>332</v>
      </c>
      <c r="G5" s="10" t="n">
        <v>20</v>
      </c>
      <c r="H5" s="11" t="s">
        <v>346</v>
      </c>
      <c r="I5" s="10" t="n">
        <f aca="false">COUNTIF(Gabarito!B$2:B$1000,A5)</f>
        <v>10</v>
      </c>
      <c r="J5" s="10" t="n">
        <f aca="false">COUNTIFS(Gabarito!B$2:B$1000,A5,Gabarito!I$2:I$1000,"Aprovada")</f>
        <v>0</v>
      </c>
    </row>
    <row r="6" customFormat="false" ht="23.25" hidden="false" customHeight="true" outlineLevel="0" collapsed="false">
      <c r="A6" s="10" t="n">
        <v>5</v>
      </c>
      <c r="B6" s="11" t="s">
        <v>148</v>
      </c>
      <c r="C6" s="11" t="s">
        <v>347</v>
      </c>
      <c r="D6" s="11" t="s">
        <v>348</v>
      </c>
      <c r="E6" s="11" t="s">
        <v>349</v>
      </c>
      <c r="F6" s="10" t="s">
        <v>350</v>
      </c>
      <c r="G6" s="10" t="n">
        <v>43</v>
      </c>
      <c r="H6" s="11" t="s">
        <v>351</v>
      </c>
      <c r="I6" s="10" t="n">
        <f aca="false">COUNTIF(Gabarito!B$2:B$1000,A6)</f>
        <v>10</v>
      </c>
      <c r="J6" s="10" t="n">
        <f aca="false">COUNTIFS(Gabarito!B$2:B$1000,A6,Gabarito!I$2:I$1000,"Aprovada")</f>
        <v>0</v>
      </c>
    </row>
    <row r="7" customFormat="false" ht="23.25" hidden="false" customHeight="true" outlineLevel="0" collapsed="false">
      <c r="A7" s="10" t="n">
        <v>6</v>
      </c>
      <c r="B7" s="11" t="s">
        <v>176</v>
      </c>
      <c r="C7" s="11" t="s">
        <v>352</v>
      </c>
      <c r="D7" s="11" t="s">
        <v>353</v>
      </c>
      <c r="E7" s="11" t="s">
        <v>354</v>
      </c>
      <c r="F7" s="10" t="s">
        <v>332</v>
      </c>
      <c r="G7" s="10" t="n">
        <v>2</v>
      </c>
      <c r="H7" s="11" t="s">
        <v>355</v>
      </c>
      <c r="I7" s="10" t="n">
        <f aca="false">COUNTIF(Gabarito!B$2:B$1000,A7)</f>
        <v>6</v>
      </c>
      <c r="J7" s="10" t="n">
        <f aca="false">COUNTIFS(Gabarito!B$2:B$1000,A7,Gabarito!I$2:I$1000,"Aprovada")</f>
        <v>0</v>
      </c>
    </row>
    <row r="8" customFormat="false" ht="23.25" hidden="false" customHeight="true" outlineLevel="0" collapsed="false">
      <c r="A8" s="10" t="n">
        <v>7</v>
      </c>
      <c r="B8" s="11" t="s">
        <v>191</v>
      </c>
      <c r="C8" s="11" t="s">
        <v>356</v>
      </c>
      <c r="D8" s="11" t="s">
        <v>357</v>
      </c>
      <c r="E8" s="11" t="s">
        <v>358</v>
      </c>
      <c r="F8" s="10" t="s">
        <v>332</v>
      </c>
      <c r="G8" s="10" t="n">
        <v>11</v>
      </c>
      <c r="H8" s="11" t="s">
        <v>359</v>
      </c>
      <c r="I8" s="10" t="n">
        <f aca="false">COUNTIF(Gabarito!B$2:B$1000,A8)</f>
        <v>10</v>
      </c>
      <c r="J8" s="10" t="n">
        <f aca="false">COUNTIFS(Gabarito!B$2:B$1000,A8,Gabarito!I$2:I$1000,"Aprovada")</f>
        <v>0</v>
      </c>
    </row>
    <row r="9" customFormat="false" ht="15" hidden="false" customHeight="true" outlineLevel="0" collapsed="false">
      <c r="A9" s="10" t="n">
        <v>8</v>
      </c>
      <c r="B9" s="11" t="s">
        <v>214</v>
      </c>
      <c r="C9" s="11" t="s">
        <v>360</v>
      </c>
      <c r="D9" s="11" t="s">
        <v>361</v>
      </c>
      <c r="E9" s="11" t="s">
        <v>362</v>
      </c>
      <c r="F9" s="10" t="s">
        <v>350</v>
      </c>
      <c r="G9" s="10" t="n">
        <v>10</v>
      </c>
      <c r="H9" s="11" t="s">
        <v>363</v>
      </c>
      <c r="I9" s="10" t="n">
        <f aca="false">COUNTIF(Gabarito!B$2:B$1000,A9)</f>
        <v>11</v>
      </c>
      <c r="J9" s="10" t="n">
        <f aca="false">COUNTIFS(Gabarito!B$2:B$1000,A9,Gabarito!I$2:I$1000,"Aprovada")</f>
        <v>0</v>
      </c>
    </row>
    <row r="10" customFormat="false" ht="15" hidden="false" customHeight="true" outlineLevel="0" collapsed="false">
      <c r="A10" s="10" t="n">
        <v>9</v>
      </c>
      <c r="B10" s="11" t="s">
        <v>240</v>
      </c>
      <c r="C10" s="11" t="s">
        <v>364</v>
      </c>
      <c r="D10" s="11" t="s">
        <v>365</v>
      </c>
      <c r="E10" s="11" t="s">
        <v>366</v>
      </c>
      <c r="F10" s="10" t="s">
        <v>350</v>
      </c>
      <c r="G10" s="10" t="n">
        <v>18</v>
      </c>
      <c r="H10" s="11" t="s">
        <v>367</v>
      </c>
      <c r="I10" s="10" t="n">
        <f aca="false">COUNTIF(Gabarito!B$2:B$1000,A10)</f>
        <v>11</v>
      </c>
      <c r="J10" s="10" t="n">
        <f aca="false">COUNTIFS(Gabarito!B$2:B$1000,A10,Gabarito!I$2:I$1000,"Aprovada")</f>
        <v>0</v>
      </c>
    </row>
    <row r="11" customFormat="false" ht="15" hidden="false" customHeight="true" outlineLevel="0" collapsed="false">
      <c r="A11" s="10" t="n">
        <v>10</v>
      </c>
      <c r="B11" s="11" t="s">
        <v>269</v>
      </c>
      <c r="C11" s="11" t="s">
        <v>368</v>
      </c>
      <c r="D11" s="11" t="s">
        <v>369</v>
      </c>
      <c r="E11" s="11" t="s">
        <v>370</v>
      </c>
      <c r="F11" s="10" t="s">
        <v>332</v>
      </c>
      <c r="G11" s="10" t="n">
        <v>11</v>
      </c>
      <c r="H11" s="11" t="s">
        <v>371</v>
      </c>
      <c r="I11" s="10" t="n">
        <f aca="false">COUNTIF(Gabarito!B$2:B$1000,A11)</f>
        <v>11</v>
      </c>
      <c r="J11" s="10" t="n">
        <f aca="false">COUNTIFS(Gabarito!B$2:B$1000,A11,Gabarito!I$2:I$1000,"Aprovada")</f>
        <v>0</v>
      </c>
    </row>
    <row r="12" customFormat="false" ht="15" hidden="false" customHeight="true" outlineLevel="0" collapsed="false">
      <c r="A12" s="10" t="n">
        <v>11</v>
      </c>
      <c r="B12" s="11" t="s">
        <v>295</v>
      </c>
      <c r="C12" s="11" t="s">
        <v>372</v>
      </c>
      <c r="D12" s="11" t="s">
        <v>373</v>
      </c>
      <c r="E12" s="11" t="s">
        <v>374</v>
      </c>
      <c r="F12" s="10" t="s">
        <v>375</v>
      </c>
      <c r="G12" s="10" t="n">
        <v>23</v>
      </c>
      <c r="H12" s="11" t="s">
        <v>367</v>
      </c>
      <c r="I12" s="10" t="n">
        <f aca="false">COUNTIF(Gabarito!B$2:B$1000,A12)</f>
        <v>10</v>
      </c>
      <c r="J12" s="10" t="n">
        <f aca="false">COUNTIFS(Gabarito!B$2:B$1000,A12,Gabarito!I$2:I$1000,"Aprovada")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2026-10-16T13:47:33Z</dcterms:created>
  <dc:creator>openpyxl</dc:creator>
  <dc:description/>
  <dc:language>en-US</dc:language>
  <cp:lastModifiedBy/>
  <dcterms:modified xsi:type="dcterms:W3CDTF">2026-10-19T16:15:35Z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