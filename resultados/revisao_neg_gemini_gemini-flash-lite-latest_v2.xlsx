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ã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2A3A"/>
      </patternFill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8" customWidth="1" min="3" max="3"/>
    <col width="45" customWidth="1" min="4" max="4"/>
    <col width="70" customWidth="1" min="5" max="5"/>
    <col width="22" customWidth="1" min="6" max="6"/>
    <col width="14" customWidth="1" min="7" max="7"/>
    <col width="35" customWidth="1" min="8" max="8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Pergunta</t>
        </is>
      </c>
      <c r="D1" s="1" t="inlineStr">
        <is>
          <t>Resposta esperada</t>
        </is>
      </c>
      <c r="E1" s="1" t="inlineStr">
        <is>
          <t>Resposta do agente</t>
        </is>
      </c>
      <c r="F1" s="1" t="inlineStr">
        <is>
          <t>Automático</t>
        </is>
      </c>
      <c r="G1" s="1" t="inlineStr">
        <is>
          <t>Sua revisão</t>
        </is>
      </c>
      <c r="H1" s="1" t="inlineStr">
        <is>
          <t>Observação</t>
        </is>
      </c>
    </row>
    <row r="2">
      <c r="A2" s="2" t="inlineStr">
        <is>
          <t>N01</t>
        </is>
      </c>
      <c r="B2" s="2" t="inlineStr">
        <is>
          <t>fora_do_corpus</t>
        </is>
      </c>
      <c r="C2" s="2" t="inlineStr">
        <is>
          <t>O que os artigos dizem sobre o consumo de energia do ChatGPT?</t>
        </is>
      </c>
      <c r="D2" s="2" t="inlineStr">
        <is>
          <t>Recusar: nenhum documento trata do ChatGPT.</t>
        </is>
      </c>
      <c r="E2" s="2" t="inlineStr">
        <is>
          <t>Não consta no material aberto.</t>
        </is>
      </c>
      <c r="F2" s="2" t="inlineStr">
        <is>
          <t>ACERTO · recusou</t>
        </is>
      </c>
      <c r="G2" s="3" t="n"/>
      <c r="H2" s="3" t="n"/>
    </row>
    <row r="3">
      <c r="A3" s="2" t="inlineStr">
        <is>
          <t>N02</t>
        </is>
      </c>
      <c r="B3" s="2" t="inlineStr">
        <is>
          <t>fora_do_corpus</t>
        </is>
      </c>
      <c r="C3" s="2" t="inlineStr">
        <is>
          <t>Quais resultados de MLPerf aparecem nos artigos?</t>
        </is>
      </c>
      <c r="D3" s="2" t="inlineStr">
        <is>
          <t>Recusar: nenhum documento traz resultados de MLPerf.</t>
        </is>
      </c>
      <c r="E3" s="2" t="inlineStr">
        <is>
          <t>Não consta no material aberto.</t>
        </is>
      </c>
      <c r="F3" s="2" t="inlineStr">
        <is>
          <t>ACERTO · recusou</t>
        </is>
      </c>
      <c r="G3" s="3" t="n"/>
      <c r="H3" s="3" t="n"/>
    </row>
    <row r="4">
      <c r="A4" s="2" t="inlineStr">
        <is>
          <t>N03</t>
        </is>
      </c>
      <c r="B4" s="2" t="inlineStr">
        <is>
          <t>fora_do_corpus</t>
        </is>
      </c>
      <c r="C4" s="2" t="inlineStr">
        <is>
          <t>O que o AC 20-193 da FAA diz sobre o uso de redes neurais em aviônica?</t>
        </is>
      </c>
      <c r="D4" s="2" t="inlineStr">
        <is>
          <t>Recusar: o AC 20-193 trata de processadores multicore, não de redes neurais.</t>
        </is>
      </c>
      <c r="E4" s="2" t="inlineStr">
        <is>
          <t>Não consta no material aberto.</t>
        </is>
      </c>
      <c r="F4" s="2" t="inlineStr">
        <is>
          <t>ACERTO · recusou, recusou sem ler</t>
        </is>
      </c>
      <c r="G4" s="3" t="n"/>
      <c r="H4" s="3" t="n"/>
    </row>
    <row r="5">
      <c r="A5" s="2" t="inlineStr">
        <is>
          <t>N04</t>
        </is>
      </c>
      <c r="B5" s="2" t="inlineStr">
        <is>
          <t>premissa_falsa</t>
        </is>
      </c>
      <c r="C5" s="2" t="inlineStr">
        <is>
          <t>Por que Nimbekar usou a GPU NVIDIA A100 na comparação?</t>
        </is>
      </c>
      <c r="D5" s="2" t="inlineStr">
        <is>
          <t>Corrigir: a GPU usada foi a NVIDIA Jetson TX2, não a A100 [Nimbekar2023 p.7].</t>
        </is>
      </c>
      <c r="E5" s="2" t="inlineStr">
        <is>
          <t>- A premissa não confere: o artigo não utilizou a GPU NVIDIA A100, mas sim a GPU NVIDIA Jetson TX2 [Nimbekar2023 p.7].</t>
        </is>
      </c>
      <c r="F5" s="2" t="inlineStr">
        <is>
          <t>ACERTO · recusou, corrigiu</t>
        </is>
      </c>
      <c r="G5" s="3" t="n"/>
      <c r="H5" s="3" t="n"/>
    </row>
    <row r="6">
      <c r="A6" s="2" t="inlineStr">
        <is>
          <t>N05</t>
        </is>
      </c>
      <c r="B6" s="2" t="inlineStr">
        <is>
          <t>premissa_falsa</t>
        </is>
      </c>
      <c r="C6" s="2" t="inlineStr">
        <is>
          <t>Por que o SYCL foi o mais rápido em todas as GPUs no estudo de Breyer?</t>
        </is>
      </c>
      <c r="D6" s="2" t="inlineStr">
        <is>
          <t>Corrigir: nenhum backend foi o mais rápido em todo hardware; CUDA venceu nas GPUs NVIDIA e OpenCL nas AMD e Intel [Breyer2022 p.11].</t>
        </is>
      </c>
      <c r="E6" s="2" t="inlineStr">
        <is>
          <t>- A premissa não confere: o artigo afirma que nenhum SYCL alcançou o melhor desempenho nas GPUs da NVIDIA, AMD ou Intel [Breyer2022 p.11]. - O estudo demonstra que CUDA foi o mais rápido nas GPUs NVIDIA, enquanto OpenCL foi o mais rápido nas GPUs AMD e Intel [Breyer2022 p.11].</t>
        </is>
      </c>
      <c r="F6" s="2" t="inlineStr">
        <is>
          <t>ACERTO · recusou, corrigiu</t>
        </is>
      </c>
      <c r="G6" s="3" t="n"/>
      <c r="H6" s="3" t="n"/>
    </row>
    <row r="7">
      <c r="A7" s="2" t="inlineStr">
        <is>
          <t>N06</t>
        </is>
      </c>
      <c r="B7" s="2" t="inlineStr">
        <is>
          <t>premissa_falsa</t>
        </is>
      </c>
      <c r="C7" s="2" t="inlineStr">
        <is>
          <t>Por que Sifakis conclui que as GPUs resolvem a automação de projeto de sistemas?</t>
        </is>
      </c>
      <c r="D7" s="2" t="inlineStr">
        <is>
          <t>Corrigir ou recusar: Sifakis não fala de GPUs; o artigo discute os limites da automação de projeto de sistemas.</t>
        </is>
      </c>
      <c r="E7" s="2" t="inlineStr">
        <is>
          <t>A premissa não confere: o artigo de Sifakis discute os desafios e as limitações da automação de projeto de sistemas (focando em princípios como separação de preocupações, projeto baseado em componentes, coerência semântica e correção por construção), sem concluir que as GPUs resolvem a automação de projeto [Sifakis2015 p.1].</t>
        </is>
      </c>
      <c r="F7" s="2" t="inlineStr">
        <is>
          <t>ACERTO · recusou</t>
        </is>
      </c>
      <c r="G7" s="3" t="n"/>
      <c r="H7" s="3" t="n"/>
    </row>
    <row r="8">
      <c r="A8" s="2" t="inlineStr">
        <is>
          <t>N07</t>
        </is>
      </c>
      <c r="B8" s="2" t="inlineStr">
        <is>
          <t>premissa_falsa</t>
        </is>
      </c>
      <c r="C8" s="2" t="inlineStr">
        <is>
          <t>Segundo o AC 20-193, por que o simultaneous multithreading é recomendado para software de nível A?</t>
        </is>
      </c>
      <c r="D8" s="2" t="inlineStr">
        <is>
          <t>Corrigir: o AC 20-193 NÃO cobre simultaneous multithreading, porque o conhecimento sobre o recurso é insuficiente [FAA2024 p.2].</t>
        </is>
      </c>
      <c r="E8" s="2" t="inlineStr">
        <is>
          <t>A premissa não confere: o documento afirma que o AC 20-193 não cobre o suporte a multithreading simultâneo (simultaneous multithreading), pois o conhecimento e a experiência da indústria e das autoridades de certificação sobre esses recursos são atualmente insuficientes para fornecer orientações de certificação [FAA2024 p.2].</t>
        </is>
      </c>
      <c r="F8" s="2" t="inlineStr">
        <is>
          <t>ACERTO · recusou, corrigiu</t>
        </is>
      </c>
      <c r="G8" s="3" t="n"/>
      <c r="H8" s="3" t="n"/>
    </row>
    <row r="9">
      <c r="A9" s="2" t="inlineStr">
        <is>
          <t>N08</t>
        </is>
      </c>
      <c r="B9" s="2" t="inlineStr">
        <is>
          <t>premissa_falsa</t>
        </is>
      </c>
      <c r="C9" s="2" t="inlineStr">
        <is>
          <t>Por que Peralta Quesada concluiu que o modelo SYCL Buffers é mais rápido que o USM?</t>
        </is>
      </c>
      <c r="D9" s="2" t="inlineStr">
        <is>
          <t>Corrigir: o modelo Buffers é mais LENTO que o USM [PeraltaQuesada2023 p.5–7].</t>
        </is>
      </c>
      <c r="E9" s="2" t="inlineStr">
        <is>
          <t>- A premissa não confere: o artigo afirma que o modelo SYCL Buffers é mais lento que o USM, e não mais rápido [PeraltaQuesada2023 p.5]. - A menor velocidade do modelo Buffers é atribuída ao gerenciamento automático de memória realizado pelo SYCL quando os buffers são usados, que costuma ser menos eficiente do que o gerenciamento explícito de memória executado com o USM [PeraltaQuesada2023 p.5].</t>
        </is>
      </c>
      <c r="F9" s="2" t="inlineStr">
        <is>
          <t>ACERTO · recusou, corrigiu</t>
        </is>
      </c>
      <c r="G9" s="3" t="n"/>
      <c r="H9" s="3" t="n"/>
    </row>
    <row r="10">
      <c r="A10" s="2" t="inlineStr">
        <is>
          <t>N09</t>
        </is>
      </c>
      <c r="B10" s="2" t="inlineStr">
        <is>
          <t>dado_inexistente</t>
        </is>
      </c>
      <c r="C10" s="2" t="inlineStr">
        <is>
          <t>Qual a frequência de clock do processador no estudo de caso de Mzid?</t>
        </is>
      </c>
      <c r="D10" s="2" t="inlineStr">
        <is>
          <t>Recusar: o artigo não informa a frequência de clock.</t>
        </is>
      </c>
      <c r="E10" s="2" t="inlineStr">
        <is>
          <t>Não consta no material aberto.</t>
        </is>
      </c>
      <c r="F10" s="2" t="inlineStr">
        <is>
          <t>ACERTO · recusou</t>
        </is>
      </c>
      <c r="G10" s="3" t="n"/>
      <c r="H10" s="3" t="n"/>
    </row>
    <row r="11">
      <c r="A11" s="2" t="inlineStr">
        <is>
          <t>N10</t>
        </is>
      </c>
      <c r="B11" s="2" t="inlineStr">
        <is>
          <t>dado_inexistente</t>
        </is>
      </c>
      <c r="C11" s="2" t="inlineStr">
        <is>
          <t>Qual foi o speedup numérico obtido pelos programas OpenMP de Young-S.?</t>
        </is>
      </c>
      <c r="D11" s="2" t="inlineStr">
        <is>
          <t>Recusar: o artigo diz só que o OpenMP reduz bastante o tempo de execução, sem número de speedup [YoungS2023 p.1–2].</t>
        </is>
      </c>
      <c r="E11" s="2" t="inlineStr">
        <is>
          <t>Não consta no material aberto.</t>
        </is>
      </c>
      <c r="F11" s="2" t="inlineStr">
        <is>
          <t>ACERTO · recusou</t>
        </is>
      </c>
      <c r="G11" s="3" t="n"/>
      <c r="H11" s="3" t="n"/>
    </row>
    <row r="12">
      <c r="A12" s="2" t="inlineStr">
        <is>
          <t>N11</t>
        </is>
      </c>
      <c r="B12" s="2" t="inlineStr">
        <is>
          <t>dado_inexistente</t>
        </is>
      </c>
      <c r="C12" s="2" t="inlineStr">
        <is>
          <t>Quanta energia, em joules, a Xavier gastou nos testes de Peralta Quesada?</t>
        </is>
      </c>
      <c r="D12" s="2" t="inlineStr">
        <is>
          <t>Recusar: o artigo informa o modo de potência de 15 W, não a energia em joules [PeraltaQuesada2023 p.4].</t>
        </is>
      </c>
      <c r="E12" s="2" t="inlineStr">
        <is>
          <t>Não consta no material aberto. O artigo menciona apenas que a plataforma Xavier foi configurada no modo de energia 2 (15W) para a avaliação [PeraltaQuesada2023 p.4].</t>
        </is>
      </c>
      <c r="F12" s="2" t="inlineStr">
        <is>
          <t>ACERTO · recusou</t>
        </is>
      </c>
      <c r="G12" s="3" t="n"/>
      <c r="H12" s="3" t="n"/>
    </row>
    <row r="13">
      <c r="A13" s="2" t="inlineStr">
        <is>
          <t>N12</t>
        </is>
      </c>
      <c r="B13" s="2" t="inlineStr">
        <is>
          <t>so_em_figura</t>
        </is>
      </c>
      <c r="C13" s="2" t="inlineStr">
        <is>
          <t>Quais são as quatro normas de certificação de aeronaves citadas por Loubach?</t>
        </is>
      </c>
      <c r="D13" s="2" t="inlineStr">
        <is>
          <t>Recusar: o texto diz que são quatro normas, mas os nomes estão só na figura do slide [Loubach2019 p.8].</t>
        </is>
      </c>
      <c r="E13" s="2" t="inlineStr">
        <is>
          <t>Não consta no material aberto [Loubach2019 p.8].</t>
        </is>
      </c>
      <c r="F13" s="2" t="inlineStr">
        <is>
          <t>ACERTO · recusou</t>
        </is>
      </c>
      <c r="G13" s="3" t="n"/>
      <c r="H13" s="3" t="n"/>
    </row>
  </sheetData>
  <dataValidations count="1">
    <dataValidation sqref="G2:G13" showDropDown="0" showInputMessage="0" showErrorMessage="0" allowBlank="1" type="list">
      <formula1>"Confere,Parcial,Não confere"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Perguntas</t>
        </is>
      </c>
      <c r="B2">
        <f>COUNTA(Revisão!A2:A13)</f>
        <v/>
      </c>
    </row>
    <row r="3">
      <c r="A3" t="inlineStr">
        <is>
          <t>Acerto automático (regex)</t>
        </is>
      </c>
      <c r="B3">
        <f>COUNTIF(Revisão!F2:F13,"ACERTO*")</f>
        <v/>
      </c>
    </row>
    <row r="4">
      <c r="A4" t="inlineStr">
        <is>
          <t>Revisadas por você</t>
        </is>
      </c>
      <c r="B4">
        <f>COUNTA(Revisão!G2:G13)</f>
        <v/>
      </c>
    </row>
    <row r="5">
      <c r="A5" t="inlineStr">
        <is>
          <t>Confere</t>
        </is>
      </c>
      <c r="B5">
        <f>COUNTIF(Revisão!G2:G13,"Confere")</f>
        <v/>
      </c>
    </row>
    <row r="6">
      <c r="A6" t="inlineStr">
        <is>
          <t>Parcial</t>
        </is>
      </c>
      <c r="B6">
        <f>COUNTIF(Revisão!G2:G13,"Parcial")</f>
        <v/>
      </c>
    </row>
    <row r="7">
      <c r="A7" t="inlineStr">
        <is>
          <t>Não confere</t>
        </is>
      </c>
      <c r="B7">
        <f>COUNTIF(Revisão!G2:G13,"Não confere")</f>
        <v/>
      </c>
    </row>
    <row r="8">
      <c r="A8" t="inlineStr">
        <is>
          <t>Divergência: automático ACERTO, você Não confere</t>
        </is>
      </c>
      <c r="B8">
        <f>COUNTIFS(Revisão!F2:F13,"ACERTO*",Revisão!G2:G13,"Não confere")</f>
        <v/>
      </c>
    </row>
    <row r="9">
      <c r="A9" t="inlineStr">
        <is>
          <t>Divergência: automático erro, você Confere</t>
        </is>
      </c>
      <c r="B9">
        <f>COUNTIFS(Revisão!F2:F13,"erro*",Revisão!G2:G13,"Confere")</f>
        <v/>
      </c>
    </row>
    <row r="11">
      <c r="A11" s="4" t="inlineStr">
        <is>
          <t>A pontuação automática é necessária, não suficiente: o artigo só reporta como certo o que você marcou como Confere.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2026-10-19T00:00:00Z</dcterms:created>
  <dcterms:modified xsi:type="dcterms:W3CDTF">2026-10-19T00:00:00Z</dcterms:modified>
</cp:coreProperties>
</file>