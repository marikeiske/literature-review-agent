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<sst xmlns="http://schemas.openxmlformats.org/spreadsheetml/2006/main" count="91" uniqueCount="70">
  <si>
    <t xml:space="preserve">ID</t>
  </si>
  <si>
    <t xml:space="preserve">Tipo</t>
  </si>
  <si>
    <t xml:space="preserve">Pergunta</t>
  </si>
  <si>
    <t xml:space="preserve">Resposta esperada</t>
  </si>
  <si>
    <t xml:space="preserve">Resposta do agente</t>
  </si>
  <si>
    <t xml:space="preserve">Automático</t>
  </si>
  <si>
    <t xml:space="preserve">Sua revisão</t>
  </si>
  <si>
    <t xml:space="preserve">Observação</t>
  </si>
  <si>
    <t xml:space="preserve">N01</t>
  </si>
  <si>
    <t xml:space="preserve">fora_do_corpus</t>
  </si>
  <si>
    <t xml:space="preserve">O que os artigos dizem sobre o consumo de energia do ChatGPT?</t>
  </si>
  <si>
    <t xml:space="preserve">Recusar: nenhum documento trata do ChatGPT.</t>
  </si>
  <si>
    <t xml:space="preserve">Não consta no material aberto.</t>
  </si>
  <si>
    <t xml:space="preserve">ACERTO · recusou</t>
  </si>
  <si>
    <t xml:space="preserve">N02</t>
  </si>
  <si>
    <t xml:space="preserve">Quais resultados de MLPerf aparecem nos artigos?</t>
  </si>
  <si>
    <t xml:space="preserve">Recusar: nenhum documento traz resultados de MLPerf.</t>
  </si>
  <si>
    <t xml:space="preserve">N03</t>
  </si>
  <si>
    <t xml:space="preserve">O que o AC 20-193 da FAA diz sobre o uso de redes neurais em aviônica?</t>
  </si>
  <si>
    <t xml:space="preserve">Recusar: o AC 20-193 trata de processadores multicore, não de redes neurais.</t>
  </si>
  <si>
    <t xml:space="preserve">ACERTO · recusou, recusou sem ler</t>
  </si>
  <si>
    <t xml:space="preserve">N04</t>
  </si>
  <si>
    <t xml:space="preserve">premissa_falsa</t>
  </si>
  <si>
    <t xml:space="preserve">Por que Nimbekar usou a GPU NVIDIA A100 na comparação?</t>
  </si>
  <si>
    <t xml:space="preserve">Corrigir: a GPU usada foi a NVIDIA Jetson TX2, não a A100 [Nimbekar2023 p.7].</t>
  </si>
  <si>
    <t xml:space="preserve">Não consta no material aberto. Nimbekar não utilizou a GPU NVIDIA A100, mas sim a GPU NVIDIA Jetson TX2 [Nimbekar2023 p.7].</t>
  </si>
  <si>
    <t xml:space="preserve">ACERTO · recusou, corrigiu</t>
  </si>
  <si>
    <t xml:space="preserve">N05</t>
  </si>
  <si>
    <t xml:space="preserve">Por que o SYCL foi o mais rápido em todas as GPUs no estudo de Breyer?</t>
  </si>
  <si>
    <t xml:space="preserve">Corrigir: nenhum backend foi o mais rápido em todo hardware; CUDA venceu nas GPUs NVIDIA e OpenCL nas AMD e Intel [Breyer2022 p.11].</t>
  </si>
  <si>
    <t xml:space="preserve">Não consta no material aberto [Breyer2022 p.11]. O estudo de Breyer afirma que o SYCL não foi o mais rápido em todas as GPUs [Breyer2022 p.11]. Na verdade, a CUDA foi o mais rápido nas GPUs da NVIDIA, enquanto o OpenCL foi o mais rápido nas GPUs da AMD e da Intel [Breyer2022 p.11]. O SYCL foi o mais rápido apenas em uma paralelização pura em CPU [Breyer2022 p.11].</t>
  </si>
  <si>
    <t xml:space="preserve">N06</t>
  </si>
  <si>
    <t xml:space="preserve">Por que Sifakis conclui que as GPUs resolvem a automação de projeto de sistemas?</t>
  </si>
  <si>
    <t xml:space="preserve">Corrigir ou recusar: Sifakis não fala de GPUs; o artigo discute os limites da automação de projeto de sistemas.</t>
  </si>
  <si>
    <t xml:space="preserve">Não consta no material aberto. Sifakis discute os desafios e limitações da automação de projeto de sistemas [Sifakis2015 p.1], apontando a intratabilidade da síntese e verificação para software [Sifakis2015 p.2] e a interação entre hardware e software [Sifakis2015 p.2], sem concluir que as GPUs resolvem a automação de projeto de sistemas.</t>
  </si>
  <si>
    <t xml:space="preserve">N07</t>
  </si>
  <si>
    <t xml:space="preserve">Segundo o AC 20-193, por que o simultaneous multithreading é recomendado para software de nível A?</t>
  </si>
  <si>
    <t xml:space="preserve">Corrigir: o AC 20-193 NÃO cobre simultaneous multithreading, porque o conhecimento sobre o recurso é insuficiente [FAA2024 p.2].</t>
  </si>
  <si>
    <t xml:space="preserve">Não consta no material aberto. O documento AC 20-193 afirma que o uso de simultaneous multithreading não é coberto por suas diretrizes, pois o conhecimento e a experiência da indústria e das autoridades de certificação sobre esses recursos são atualmente insuficientes para fornecer orientações para sua certificação [FAA2024 p.2].</t>
  </si>
  <si>
    <t xml:space="preserve">N08</t>
  </si>
  <si>
    <t xml:space="preserve">Por que Peralta Quesada concluiu que o modelo SYCL Buffers é mais rápido que o USM?</t>
  </si>
  <si>
    <t xml:space="preserve">Corrigir: o modelo Buffers é mais LENTO que o USM [PeraltaQuesada2023 p.5–7].</t>
  </si>
  <si>
    <t xml:space="preserve">Não consta no material aberto que o modelo SYCL Buffers seja mais rápido que o USM; pelo contrário, o texto afirma que o modelo SYCL Buffers é mais lento que a versão USM [PeraltaQuesada2023 p.5]. O artigo indica que a menor velocidade do modelo Buffers ocorre porque o gerenciamento automático de memória realizado pelo SYCL ao utilizar buffers costuma ser menos eficiente do que o gerenciamento exp</t>
  </si>
  <si>
    <t xml:space="preserve">N09</t>
  </si>
  <si>
    <t xml:space="preserve">dado_inexistente</t>
  </si>
  <si>
    <t xml:space="preserve">Qual a frequência de clock do processador no estudo de caso de Mzid?</t>
  </si>
  <si>
    <t xml:space="preserve">Recusar: o artigo não informa a frequência de clock.</t>
  </si>
  <si>
    <t xml:space="preserve">N10</t>
  </si>
  <si>
    <t xml:space="preserve">Qual foi o speedup numérico obtido pelos programas OpenMP de Young-S.?</t>
  </si>
  <si>
    <t xml:space="preserve">Recusar: o artigo diz só que o OpenMP reduz bastante o tempo de execução, sem número de speedup [YoungS2023 p.1–2].</t>
  </si>
  <si>
    <t xml:space="preserve">Não consta no material aberto. O artigo de Young-S. et al. (2023) afirma que as versões OpenMP reduzem altamente ou significativamente o tempo de CPU em processadores multi-core [YoungS2023 p.1], mas não fornece um valor numérico específico para o speedup obtido.</t>
  </si>
  <si>
    <t xml:space="preserve">N11</t>
  </si>
  <si>
    <t xml:space="preserve">Quanta energia, em joules, a Xavier gastou nos testes de Peralta Quesada?</t>
  </si>
  <si>
    <t xml:space="preserve">Recusar: o artigo informa o modo de potência de 15 W, não a energia em joules [PeraltaQuesada2023 p.4].</t>
  </si>
  <si>
    <t xml:space="preserve">Não consta no material aberto. O texto menciona que os autores escolheram o modo de energia 2 (15W) para a plataforma NVIDIA Jetson AGX Xavier durante as avaliações, mas não informa o consumo total em joules gasto nos testes [PeraltaQuesada2023 p.4].</t>
  </si>
  <si>
    <t xml:space="preserve">N12</t>
  </si>
  <si>
    <t xml:space="preserve">so_em_figura</t>
  </si>
  <si>
    <t xml:space="preserve">Quais são as quatro normas de certificação de aeronaves citadas por Loubach?</t>
  </si>
  <si>
    <t xml:space="preserve">Recusar: o texto diz que são quatro normas, mas os nomes estão só na figura do slide [Loubach2019 p.8].</t>
  </si>
  <si>
    <t xml:space="preserve">Indicador</t>
  </si>
  <si>
    <t xml:space="preserve">Valor</t>
  </si>
  <si>
    <t xml:space="preserve">Perguntas</t>
  </si>
  <si>
    <t xml:space="preserve">Acerto automático (regex)</t>
  </si>
  <si>
    <t xml:space="preserve">Revisadas por você</t>
  </si>
  <si>
    <t xml:space="preserve">Confere</t>
  </si>
  <si>
    <t xml:space="preserve">Parcial</t>
  </si>
  <si>
    <t xml:space="preserve">Não confere</t>
  </si>
  <si>
    <t xml:space="preserve">Divergência: automático ACERTO, você Não confere</t>
  </si>
  <si>
    <t xml:space="preserve">Divergência: automático erro, você Confere</t>
  </si>
  <si>
    <t xml:space="preserve">A pontuação automática é necessária, não suficiente: o artigo só reporta como certo o que você marcou como Confere.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</si>
</sst>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3A"/>
        <bgColor rgb="FF003366"/>
      </patternFill>
    </fill>
    <fill>
      <patternFill patternType="solid">
        <fgColor rgb="FFFFF6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45"/>
    <col collapsed="false" customWidth="true" hidden="false" outlineLevel="0" max="5" min="5" style="0" width="7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8.3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H2" s="3"/>
    </row>
    <row r="3" customFormat="false" ht="28.35" hidden="false" customHeight="false" outlineLevel="0" collapsed="false">
      <c r="A3" s="2" t="s">
        <v>14</v>
      </c>
      <c r="B3" s="2" t="s">
        <v>9</v>
      </c>
      <c r="C3" s="2" t="s">
        <v>15</v>
      </c>
      <c r="D3" s="2" t="s">
        <v>16</v>
      </c>
      <c r="E3" s="2" t="s">
        <v>12</v>
      </c>
      <c r="F3" s="2" t="s">
        <v>13</v>
      </c>
      <c r="G3" s="3"/>
      <c r="H3" s="3"/>
    </row>
    <row r="4" customFormat="false" ht="28.35" hidden="false" customHeight="false" outlineLevel="0" collapsed="false">
      <c r="A4" s="2" t="s">
        <v>17</v>
      </c>
      <c r="B4" s="2" t="s">
        <v>9</v>
      </c>
      <c r="C4" s="2" t="s">
        <v>18</v>
      </c>
      <c r="D4" s="2" t="s">
        <v>19</v>
      </c>
      <c r="E4" s="2" t="s">
        <v>12</v>
      </c>
      <c r="F4" s="2" t="s">
        <v>20</v>
      </c>
      <c r="G4" s="3"/>
      <c r="H4" s="3"/>
    </row>
    <row r="5" customFormat="false" ht="28.3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/>
      <c r="H5" s="3"/>
    </row>
    <row r="6" customFormat="false" ht="68.65" hidden="false" customHeight="false" outlineLevel="0" collapsed="false">
      <c r="A6" s="2" t="s">
        <v>27</v>
      </c>
      <c r="B6" s="2" t="s">
        <v>22</v>
      </c>
      <c r="C6" s="2" t="s">
        <v>28</v>
      </c>
      <c r="D6" s="2" t="s">
        <v>29</v>
      </c>
      <c r="E6" s="2" t="s">
        <v>30</v>
      </c>
      <c r="F6" s="2" t="s">
        <v>26</v>
      </c>
      <c r="G6" s="3"/>
      <c r="H6" s="3"/>
    </row>
    <row r="7" customFormat="false" ht="68.65" hidden="false" customHeight="false" outlineLevel="0" collapsed="false">
      <c r="A7" s="2" t="s">
        <v>31</v>
      </c>
      <c r="B7" s="2" t="s">
        <v>22</v>
      </c>
      <c r="C7" s="2" t="s">
        <v>32</v>
      </c>
      <c r="D7" s="2" t="s">
        <v>33</v>
      </c>
      <c r="E7" s="2" t="s">
        <v>34</v>
      </c>
      <c r="F7" s="2" t="s">
        <v>13</v>
      </c>
      <c r="G7" s="3"/>
      <c r="H7" s="3"/>
    </row>
    <row r="8" customFormat="false" ht="68.65" hidden="false" customHeight="false" outlineLevel="0" collapsed="false">
      <c r="A8" s="2" t="s">
        <v>35</v>
      </c>
      <c r="B8" s="2" t="s">
        <v>22</v>
      </c>
      <c r="C8" s="2" t="s">
        <v>36</v>
      </c>
      <c r="D8" s="2" t="s">
        <v>37</v>
      </c>
      <c r="E8" s="2" t="s">
        <v>38</v>
      </c>
      <c r="F8" s="2" t="s">
        <v>26</v>
      </c>
      <c r="G8" s="3"/>
      <c r="H8" s="3"/>
    </row>
    <row r="9" customFormat="false" ht="82.05" hidden="false" customHeight="false" outlineLevel="0" collapsed="false">
      <c r="A9" s="2" t="s">
        <v>39</v>
      </c>
      <c r="B9" s="2" t="s">
        <v>22</v>
      </c>
      <c r="C9" s="2" t="s">
        <v>40</v>
      </c>
      <c r="D9" s="2" t="s">
        <v>41</v>
      </c>
      <c r="E9" s="2" t="s">
        <v>42</v>
      </c>
      <c r="F9" s="2" t="s">
        <v>26</v>
      </c>
      <c r="G9" s="3"/>
      <c r="H9" s="3"/>
    </row>
    <row r="10" customFormat="false" ht="28.35" hidden="false" customHeight="false" outlineLevel="0" collapsed="false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12</v>
      </c>
      <c r="F10" s="2" t="s">
        <v>13</v>
      </c>
      <c r="G10" s="3"/>
      <c r="H10" s="3"/>
    </row>
    <row r="11" customFormat="false" ht="55.2" hidden="false" customHeight="false" outlineLevel="0" collapsed="false">
      <c r="A11" s="2" t="s">
        <v>47</v>
      </c>
      <c r="B11" s="2" t="s">
        <v>44</v>
      </c>
      <c r="C11" s="2" t="s">
        <v>48</v>
      </c>
      <c r="D11" s="2" t="s">
        <v>49</v>
      </c>
      <c r="E11" s="2" t="s">
        <v>50</v>
      </c>
      <c r="F11" s="2" t="s">
        <v>13</v>
      </c>
      <c r="G11" s="3"/>
      <c r="H11" s="3"/>
    </row>
    <row r="12" customFormat="false" ht="55.2" hidden="false" customHeight="false" outlineLevel="0" collapsed="false">
      <c r="A12" s="2" t="s">
        <v>51</v>
      </c>
      <c r="B12" s="2" t="s">
        <v>44</v>
      </c>
      <c r="C12" s="2" t="s">
        <v>52</v>
      </c>
      <c r="D12" s="2" t="s">
        <v>53</v>
      </c>
      <c r="E12" s="2" t="s">
        <v>54</v>
      </c>
      <c r="F12" s="2" t="s">
        <v>13</v>
      </c>
      <c r="G12" s="3"/>
      <c r="H12" s="3"/>
    </row>
    <row r="13" customFormat="false" ht="41.75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12</v>
      </c>
      <c r="F13" s="2" t="s">
        <v>13</v>
      </c>
      <c r="G13" s="3"/>
      <c r="H13" s="3"/>
    </row>
  </sheetData>
  <dataValidations count="1">
    <dataValidation allowBlank="true" errorStyle="stop" operator="between" showDropDown="false" showErrorMessage="false" showInputMessage="false" sqref="G2:G13" type="list">
      <formula1>"Confere,Parcial,Não confere"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59</v>
      </c>
      <c r="B1" s="1" t="s">
        <v>60</v>
      </c>
    </row>
    <row r="2" customFormat="false" ht="15" hidden="false" customHeight="false" outlineLevel="0" collapsed="false">
      <c r="A2" s="0" t="s">
        <v>61</v>
      </c>
      <c r="B2" s="0" t="n">
        <f aca="false">COUNTA(Revisão!A2:A13)</f>
        <v>12</v>
      </c>
    </row>
    <row r="3" customFormat="false" ht="15" hidden="false" customHeight="false" outlineLevel="0" collapsed="false">
      <c r="A3" s="0" t="s">
        <v>62</v>
      </c>
      <c r="B3" s="0" t="n">
        <f aca="false">COUNTIF(Revisão!F2:F13,"ACERTO*")</f>
        <v>12</v>
      </c>
    </row>
    <row r="4" customFormat="false" ht="15" hidden="false" customHeight="false" outlineLevel="0" collapsed="false">
      <c r="A4" s="0" t="s">
        <v>63</v>
      </c>
      <c r="B4" s="0" t="n">
        <f aca="false">COUNTA(Revisão!G2:G13)</f>
        <v>0</v>
      </c>
    </row>
    <row r="5" customFormat="false" ht="15" hidden="false" customHeight="false" outlineLevel="0" collapsed="false">
      <c r="A5" s="0" t="s">
        <v>64</v>
      </c>
      <c r="B5" s="0" t="n">
        <f aca="false">COUNTIF(Revisão!G2:G13,"Confere")</f>
        <v>0</v>
      </c>
    </row>
    <row r="6" customFormat="false" ht="15" hidden="false" customHeight="false" outlineLevel="0" collapsed="false">
      <c r="A6" s="0" t="s">
        <v>65</v>
      </c>
      <c r="B6" s="0" t="n">
        <f aca="false">COUNTIF(Revisão!G2:G13,"Parcial")</f>
        <v>0</v>
      </c>
    </row>
    <row r="7" customFormat="false" ht="15" hidden="false" customHeight="false" outlineLevel="0" collapsed="false">
      <c r="A7" s="0" t="s">
        <v>66</v>
      </c>
      <c r="B7" s="0" t="n">
        <f aca="false">COUNTIF(Revisão!G2:G13,"Não confere")</f>
        <v>0</v>
      </c>
    </row>
    <row r="8" customFormat="false" ht="15" hidden="false" customHeight="false" outlineLevel="0" collapsed="false">
      <c r="A8" s="0" t="s">
        <v>67</v>
      </c>
      <c r="B8" s="0" t="n">
        <f aca="false">COUNTIFS(Revisão!F2:F13,"ACERTO*",Revisão!G2:G13,"Não confere")</f>
        <v>0</v>
      </c>
    </row>
    <row r="9" customFormat="false" ht="15" hidden="false" customHeight="false" outlineLevel="0" collapsed="false">
      <c r="A9" s="0" t="s">
        <v>68</v>
      </c>
      <c r="B9" s="0" t="n">
        <f aca="false">COUNTIFS(Revisão!F2:F13,"erro*",Revisão!G2:G13,"Confere")</f>
        <v>0</v>
      </c>
    </row>
    <row r="11" customFormat="false" ht="41.75" hidden="false" customHeight="false" outlineLevel="0" collapsed="false">
      <c r="A11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2026-10-19T00:00:00Z</dcterms:created>
  <dc:creator>openpyxl</dc:creator>
  <dc:description/>
  <dc:language>en-US</dc:language>
  <cp:lastModifiedBy/>
  <dcterms:modified xsi:type="dcterms:W3CDTF">2026-10-19T00:00:00Z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